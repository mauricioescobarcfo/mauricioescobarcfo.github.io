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LENOVO\OneDrive\Desktop\Claude\04 - Modelos y plantillas\Modelos Excel\Modelos\Freebies\"/>
    </mc:Choice>
  </mc:AlternateContent>
  <xr:revisionPtr revIDLastSave="0" documentId="13_ncr:1_{C95519BF-2E36-402A-832B-42F8878BB959}" xr6:coauthVersionLast="47" xr6:coauthVersionMax="47" xr10:uidLastSave="{00000000-0000-0000-0000-000000000000}"/>
  <bookViews>
    <workbookView xWindow="-110" yWindow="-110" windowWidth="19420" windowHeight="10300" tabRatio="690" xr2:uid="{4B7AC34D-33B7-46B7-912E-CD3992BA06DA}"/>
  </bookViews>
  <sheets>
    <sheet name="Guía" sheetId="6" r:id="rId1"/>
    <sheet name="Tablero" sheetId="5" r:id="rId2"/>
    <sheet name="PPTO 2027" sheetId="4" r:id="rId3"/>
    <sheet name="Estado de resultados" sheetId="7" r:id="rId4"/>
    <sheet name="Seguimiento" sheetId="3" r:id="rId5"/>
    <sheet name="Calculos" sheetId="2" r:id="rId6"/>
    <sheet name="Base" sheetId="1" state="hidden" r:id="rId7"/>
  </sheets>
  <definedNames>
    <definedName name="ccEtq">OFFSET(Calculos!$CZ$6,0,0,ccN,1)</definedName>
    <definedName name="ccLbl">OFFSET(Calculos!$AK$10,0,0,ccN,1)</definedName>
    <definedName name="ccN">MAX(1,COUNTA(Calculos!$AK$10:$AK$20))</definedName>
    <definedName name="ccP">OFFSET(Calculos!$DB$6,0,0,ccN,1)</definedName>
    <definedName name="ccPpto">OFFSET(Calculos!$AM$10,0,0,ccN,1)</definedName>
    <definedName name="ccR">OFFSET(Calculos!$DA$6,0,0,ccN,1)</definedName>
    <definedName name="ccReal">OFFSET(Calculos!$AL$10,0,0,ccN,1)</definedName>
    <definedName name="ccVar">OFFSET(Calculos!$DC$6,0,0,ccN,1)</definedName>
    <definedName name="cuentaLbl">OFFSET(Calculos!$F$7,0,0,cuentaN,1)</definedName>
    <definedName name="cuentaN">MAX(1,COUNTA(Calculos!$F$7:$F$47))</definedName>
    <definedName name="cuentaPpto">OFFSET(Calculos!$H$7,0,0,cuentaN,1)</definedName>
    <definedName name="cuentaReal">OFFSET(Calculos!$G$7,0,0,cuentaN,1)</definedName>
    <definedName name="linTabLbl">OFFSET(Calculos!$O$6,0,0,linTabN,1)</definedName>
    <definedName name="linTabN">MAX(1,COUNTA(Calculos!$O$6:$O$16))</definedName>
    <definedName name="pCorte">Seguimiento!$L$6</definedName>
    <definedName name="pIPC">'PPTO 2027'!$G$7</definedName>
    <definedName name="pMesCorte">Seguimiento!$K$6</definedName>
    <definedName name="pMetaGastosIngresos">Calculos!$DI$8</definedName>
    <definedName name="pMetaMargenBruto">Calculos!$DI$5</definedName>
    <definedName name="pMetaMargenEbitda">Calculos!$DI$6</definedName>
    <definedName name="pMetaMargenNeto">Calculos!$DI$7</definedName>
    <definedName name="pSalario">'PPTO 2027'!$G$8</definedName>
    <definedName name="pTasaRenta">'PPTO 2027'!$G$59</definedName>
    <definedName name="rSegResumen">Seguimiento!$B$8:$F$21</definedName>
    <definedName name="SegmentaciónDeDatos_LíneaTab">#N/A</definedName>
  </definedNames>
  <calcPr calcId="191029"/>
  <pivotCaches>
    <pivotCache cacheId="5" r:id="rId8"/>
    <pivotCache cacheId="1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75" i="2" l="1"/>
  <c r="N74" i="2"/>
  <c r="N73" i="2"/>
  <c r="N72" i="2"/>
  <c r="N71" i="2"/>
  <c r="N70" i="2"/>
  <c r="N69" i="2"/>
  <c r="N68" i="2"/>
  <c r="N67" i="2"/>
  <c r="N66" i="2"/>
  <c r="N65" i="2"/>
  <c r="N64" i="2"/>
  <c r="N63" i="2"/>
  <c r="N62" i="2"/>
  <c r="N61" i="2"/>
  <c r="CZ11" i="2"/>
  <c r="DB11" i="2" s="1"/>
  <c r="CZ10" i="2"/>
  <c r="DC10" i="2" s="1"/>
  <c r="CZ9" i="2"/>
  <c r="DB9" i="2" s="1"/>
  <c r="CZ8" i="2"/>
  <c r="DA8" i="2" s="1"/>
  <c r="CZ7" i="2"/>
  <c r="DA7" i="2" s="1"/>
  <c r="CZ6" i="2"/>
  <c r="DA6" i="2" s="1"/>
  <c r="BY59" i="2"/>
  <c r="BY57" i="2"/>
  <c r="BY46" i="2"/>
  <c r="A2" i="1"/>
  <c r="B2" i="1"/>
  <c r="C2" i="1"/>
  <c r="D2" i="1"/>
  <c r="E2" i="1"/>
  <c r="F2" i="1"/>
  <c r="H2" i="1"/>
  <c r="A3" i="1"/>
  <c r="B3" i="1"/>
  <c r="C3" i="1"/>
  <c r="M3" i="1" s="1"/>
  <c r="D3" i="1"/>
  <c r="E3" i="1"/>
  <c r="F3" i="1"/>
  <c r="H3" i="1"/>
  <c r="A4" i="1"/>
  <c r="B4" i="1"/>
  <c r="C4" i="1"/>
  <c r="D4" i="1"/>
  <c r="E4" i="1"/>
  <c r="F4" i="1"/>
  <c r="H4" i="1"/>
  <c r="M4" i="1"/>
  <c r="A5" i="1"/>
  <c r="B5" i="1"/>
  <c r="C5" i="1"/>
  <c r="M5" i="1" s="1"/>
  <c r="D5" i="1"/>
  <c r="E5" i="1"/>
  <c r="F5" i="1"/>
  <c r="H5" i="1"/>
  <c r="A6" i="1"/>
  <c r="B6" i="1"/>
  <c r="C6" i="1"/>
  <c r="M6" i="1" s="1"/>
  <c r="D6" i="1"/>
  <c r="E6" i="1"/>
  <c r="F6" i="1"/>
  <c r="H6" i="1"/>
  <c r="A7" i="1"/>
  <c r="B7" i="1"/>
  <c r="C7" i="1"/>
  <c r="D7" i="1"/>
  <c r="E7" i="1"/>
  <c r="F7" i="1"/>
  <c r="H7" i="1"/>
  <c r="M7" i="1"/>
  <c r="A8" i="1"/>
  <c r="B8" i="1"/>
  <c r="C8" i="1"/>
  <c r="M8" i="1" s="1"/>
  <c r="D8" i="1"/>
  <c r="E8" i="1"/>
  <c r="F8" i="1"/>
  <c r="H8" i="1"/>
  <c r="A9" i="1"/>
  <c r="B9" i="1"/>
  <c r="C9" i="1"/>
  <c r="M9" i="1" s="1"/>
  <c r="D9" i="1"/>
  <c r="E9" i="1"/>
  <c r="F9" i="1"/>
  <c r="H9" i="1"/>
  <c r="A10" i="1"/>
  <c r="B10" i="1"/>
  <c r="C10" i="1"/>
  <c r="M10" i="1" s="1"/>
  <c r="D10" i="1"/>
  <c r="E10" i="1"/>
  <c r="F10" i="1"/>
  <c r="H10" i="1"/>
  <c r="A11" i="1"/>
  <c r="B11" i="1"/>
  <c r="C11" i="1"/>
  <c r="M11" i="1" s="1"/>
  <c r="D11" i="1"/>
  <c r="E11" i="1"/>
  <c r="F11" i="1"/>
  <c r="H11" i="1"/>
  <c r="A12" i="1"/>
  <c r="B12" i="1"/>
  <c r="C12" i="1"/>
  <c r="M12" i="1" s="1"/>
  <c r="D12" i="1"/>
  <c r="E12" i="1"/>
  <c r="F12" i="1"/>
  <c r="H12" i="1"/>
  <c r="A13" i="1"/>
  <c r="B13" i="1"/>
  <c r="C13" i="1"/>
  <c r="M13" i="1" s="1"/>
  <c r="D13" i="1"/>
  <c r="E13" i="1"/>
  <c r="F13" i="1"/>
  <c r="H13" i="1"/>
  <c r="A14" i="1"/>
  <c r="B14" i="1"/>
  <c r="C14" i="1"/>
  <c r="M14" i="1" s="1"/>
  <c r="D14" i="1"/>
  <c r="E14" i="1"/>
  <c r="F14" i="1"/>
  <c r="H14" i="1"/>
  <c r="A15" i="1"/>
  <c r="B15" i="1"/>
  <c r="C15" i="1"/>
  <c r="D15" i="1"/>
  <c r="E15" i="1"/>
  <c r="F15" i="1"/>
  <c r="H15" i="1"/>
  <c r="M15" i="1"/>
  <c r="A16" i="1"/>
  <c r="B16" i="1"/>
  <c r="C16" i="1"/>
  <c r="M16" i="1" s="1"/>
  <c r="D16" i="1"/>
  <c r="E16" i="1"/>
  <c r="F16" i="1"/>
  <c r="H16" i="1"/>
  <c r="A17" i="1"/>
  <c r="B17" i="1"/>
  <c r="C17" i="1"/>
  <c r="M17" i="1" s="1"/>
  <c r="D17" i="1"/>
  <c r="E17" i="1"/>
  <c r="F17" i="1"/>
  <c r="H17" i="1"/>
  <c r="A18" i="1"/>
  <c r="B18" i="1"/>
  <c r="C18" i="1"/>
  <c r="M18" i="1" s="1"/>
  <c r="D18" i="1"/>
  <c r="E18" i="1"/>
  <c r="F18" i="1"/>
  <c r="H18" i="1"/>
  <c r="A19" i="1"/>
  <c r="B19" i="1"/>
  <c r="C19" i="1"/>
  <c r="M19" i="1" s="1"/>
  <c r="D19" i="1"/>
  <c r="E19" i="1"/>
  <c r="F19" i="1"/>
  <c r="H19" i="1"/>
  <c r="A20" i="1"/>
  <c r="B20" i="1"/>
  <c r="C20" i="1"/>
  <c r="M20" i="1" s="1"/>
  <c r="D20" i="1"/>
  <c r="E20" i="1"/>
  <c r="F20" i="1"/>
  <c r="H20" i="1"/>
  <c r="A21" i="1"/>
  <c r="B21" i="1"/>
  <c r="C21" i="1"/>
  <c r="M21" i="1" s="1"/>
  <c r="D21" i="1"/>
  <c r="E21" i="1"/>
  <c r="F21" i="1"/>
  <c r="H21" i="1"/>
  <c r="A22" i="1"/>
  <c r="B22" i="1"/>
  <c r="C22" i="1"/>
  <c r="M22" i="1" s="1"/>
  <c r="D22" i="1"/>
  <c r="E22" i="1"/>
  <c r="F22" i="1"/>
  <c r="H22" i="1"/>
  <c r="A23" i="1"/>
  <c r="B23" i="1"/>
  <c r="C23" i="1"/>
  <c r="M23" i="1" s="1"/>
  <c r="D23" i="1"/>
  <c r="E23" i="1"/>
  <c r="F23" i="1"/>
  <c r="H23" i="1"/>
  <c r="A24" i="1"/>
  <c r="B24" i="1"/>
  <c r="C24" i="1"/>
  <c r="M24" i="1" s="1"/>
  <c r="D24" i="1"/>
  <c r="E24" i="1"/>
  <c r="F24" i="1"/>
  <c r="H24" i="1"/>
  <c r="A25" i="1"/>
  <c r="B25" i="1"/>
  <c r="C25" i="1"/>
  <c r="M25" i="1" s="1"/>
  <c r="D25" i="1"/>
  <c r="E25" i="1"/>
  <c r="F25" i="1"/>
  <c r="H25" i="1"/>
  <c r="A26" i="1"/>
  <c r="B26" i="1"/>
  <c r="C26" i="1"/>
  <c r="M26" i="1" s="1"/>
  <c r="D26" i="1"/>
  <c r="E26" i="1"/>
  <c r="F26" i="1"/>
  <c r="H26" i="1"/>
  <c r="A27" i="1"/>
  <c r="B27" i="1"/>
  <c r="C27" i="1"/>
  <c r="M27" i="1" s="1"/>
  <c r="D27" i="1"/>
  <c r="E27" i="1"/>
  <c r="F27" i="1"/>
  <c r="H27" i="1"/>
  <c r="A28" i="1"/>
  <c r="B28" i="1"/>
  <c r="C28" i="1"/>
  <c r="M28" i="1" s="1"/>
  <c r="D28" i="1"/>
  <c r="E28" i="1"/>
  <c r="F28" i="1"/>
  <c r="H28" i="1"/>
  <c r="A29" i="1"/>
  <c r="B29" i="1"/>
  <c r="C29" i="1"/>
  <c r="M29" i="1" s="1"/>
  <c r="D29" i="1"/>
  <c r="E29" i="1"/>
  <c r="F29" i="1"/>
  <c r="H29" i="1"/>
  <c r="A30" i="1"/>
  <c r="B30" i="1"/>
  <c r="C30" i="1"/>
  <c r="M30" i="1" s="1"/>
  <c r="D30" i="1"/>
  <c r="E30" i="1"/>
  <c r="F30" i="1"/>
  <c r="H30" i="1"/>
  <c r="A31" i="1"/>
  <c r="B31" i="1"/>
  <c r="C31" i="1"/>
  <c r="M31" i="1" s="1"/>
  <c r="D31" i="1"/>
  <c r="E31" i="1"/>
  <c r="F31" i="1"/>
  <c r="H31" i="1"/>
  <c r="A32" i="1"/>
  <c r="B32" i="1"/>
  <c r="C32" i="1"/>
  <c r="M32" i="1" s="1"/>
  <c r="D32" i="1"/>
  <c r="E32" i="1"/>
  <c r="F32" i="1"/>
  <c r="H32" i="1"/>
  <c r="A33" i="1"/>
  <c r="B33" i="1"/>
  <c r="C33" i="1"/>
  <c r="M33" i="1" s="1"/>
  <c r="D33" i="1"/>
  <c r="E33" i="1"/>
  <c r="F33" i="1"/>
  <c r="H33" i="1"/>
  <c r="A34" i="1"/>
  <c r="B34" i="1"/>
  <c r="C34" i="1"/>
  <c r="M34" i="1" s="1"/>
  <c r="D34" i="1"/>
  <c r="E34" i="1"/>
  <c r="F34" i="1"/>
  <c r="H34" i="1"/>
  <c r="A35" i="1"/>
  <c r="B35" i="1"/>
  <c r="C35" i="1"/>
  <c r="M35" i="1" s="1"/>
  <c r="D35" i="1"/>
  <c r="E35" i="1"/>
  <c r="F35" i="1"/>
  <c r="H35" i="1"/>
  <c r="A36" i="1"/>
  <c r="B36" i="1"/>
  <c r="C36" i="1"/>
  <c r="M36" i="1" s="1"/>
  <c r="D36" i="1"/>
  <c r="E36" i="1"/>
  <c r="F36" i="1"/>
  <c r="H36" i="1"/>
  <c r="A37" i="1"/>
  <c r="B37" i="1"/>
  <c r="C37" i="1"/>
  <c r="M37" i="1" s="1"/>
  <c r="D37" i="1"/>
  <c r="E37" i="1"/>
  <c r="F37" i="1"/>
  <c r="H37" i="1"/>
  <c r="A38" i="1"/>
  <c r="B38" i="1"/>
  <c r="C38" i="1"/>
  <c r="M38" i="1" s="1"/>
  <c r="D38" i="1"/>
  <c r="E38" i="1"/>
  <c r="F38" i="1"/>
  <c r="H38" i="1"/>
  <c r="A39" i="1"/>
  <c r="B39" i="1"/>
  <c r="C39" i="1"/>
  <c r="M39" i="1" s="1"/>
  <c r="D39" i="1"/>
  <c r="E39" i="1"/>
  <c r="F39" i="1"/>
  <c r="H39" i="1"/>
  <c r="A40" i="1"/>
  <c r="B40" i="1"/>
  <c r="C40" i="1"/>
  <c r="M40" i="1" s="1"/>
  <c r="D40" i="1"/>
  <c r="E40" i="1"/>
  <c r="F40" i="1"/>
  <c r="H40" i="1"/>
  <c r="A41" i="1"/>
  <c r="B41" i="1"/>
  <c r="C41" i="1"/>
  <c r="M41" i="1" s="1"/>
  <c r="D41" i="1"/>
  <c r="E41" i="1"/>
  <c r="F41" i="1"/>
  <c r="H41" i="1"/>
  <c r="A42" i="1"/>
  <c r="B42" i="1"/>
  <c r="C42" i="1"/>
  <c r="M42" i="1" s="1"/>
  <c r="D42" i="1"/>
  <c r="E42" i="1"/>
  <c r="F42" i="1"/>
  <c r="H42" i="1"/>
  <c r="A43" i="1"/>
  <c r="B43" i="1"/>
  <c r="C43" i="1"/>
  <c r="M43" i="1" s="1"/>
  <c r="D43" i="1"/>
  <c r="E43" i="1"/>
  <c r="F43" i="1"/>
  <c r="H43" i="1"/>
  <c r="A44" i="1"/>
  <c r="B44" i="1"/>
  <c r="C44" i="1"/>
  <c r="M44" i="1" s="1"/>
  <c r="D44" i="1"/>
  <c r="E44" i="1"/>
  <c r="F44" i="1"/>
  <c r="H44" i="1"/>
  <c r="A45" i="1"/>
  <c r="B45" i="1"/>
  <c r="C45" i="1"/>
  <c r="M45" i="1" s="1"/>
  <c r="D45" i="1"/>
  <c r="E45" i="1"/>
  <c r="F45" i="1"/>
  <c r="H45" i="1"/>
  <c r="A46" i="1"/>
  <c r="B46" i="1"/>
  <c r="C46" i="1"/>
  <c r="M46" i="1" s="1"/>
  <c r="D46" i="1"/>
  <c r="E46" i="1"/>
  <c r="F46" i="1"/>
  <c r="H46" i="1"/>
  <c r="A47" i="1"/>
  <c r="B47" i="1"/>
  <c r="C47" i="1"/>
  <c r="M47" i="1" s="1"/>
  <c r="D47" i="1"/>
  <c r="E47" i="1"/>
  <c r="F47" i="1"/>
  <c r="H47" i="1"/>
  <c r="A48" i="1"/>
  <c r="B48" i="1"/>
  <c r="C48" i="1"/>
  <c r="M48" i="1" s="1"/>
  <c r="D48" i="1"/>
  <c r="E48" i="1"/>
  <c r="F48" i="1"/>
  <c r="H48" i="1"/>
  <c r="A49" i="1"/>
  <c r="B49" i="1"/>
  <c r="C49" i="1"/>
  <c r="M49" i="1" s="1"/>
  <c r="D49" i="1"/>
  <c r="E49" i="1"/>
  <c r="F49" i="1"/>
  <c r="H49" i="1"/>
  <c r="A50" i="1"/>
  <c r="B50" i="1"/>
  <c r="C50" i="1"/>
  <c r="M50" i="1" s="1"/>
  <c r="D50" i="1"/>
  <c r="E50" i="1"/>
  <c r="F50" i="1"/>
  <c r="H50" i="1"/>
  <c r="A51" i="1"/>
  <c r="B51" i="1"/>
  <c r="C51" i="1"/>
  <c r="M51" i="1" s="1"/>
  <c r="D51" i="1"/>
  <c r="E51" i="1"/>
  <c r="F51" i="1"/>
  <c r="H51" i="1"/>
  <c r="A52" i="1"/>
  <c r="B52" i="1"/>
  <c r="C52" i="1"/>
  <c r="M52" i="1" s="1"/>
  <c r="D52" i="1"/>
  <c r="E52" i="1"/>
  <c r="F52" i="1"/>
  <c r="H52" i="1"/>
  <c r="A53" i="1"/>
  <c r="B53" i="1"/>
  <c r="C53" i="1"/>
  <c r="M53" i="1" s="1"/>
  <c r="D53" i="1"/>
  <c r="E53" i="1"/>
  <c r="F53" i="1"/>
  <c r="H53" i="1"/>
  <c r="A54" i="1"/>
  <c r="B54" i="1"/>
  <c r="C54" i="1"/>
  <c r="D54" i="1"/>
  <c r="E54" i="1"/>
  <c r="F54" i="1"/>
  <c r="H54" i="1"/>
  <c r="M54" i="1"/>
  <c r="A55" i="1"/>
  <c r="B55" i="1"/>
  <c r="C55" i="1"/>
  <c r="M55" i="1" s="1"/>
  <c r="D55" i="1"/>
  <c r="E55" i="1"/>
  <c r="F55" i="1"/>
  <c r="H55" i="1"/>
  <c r="A56" i="1"/>
  <c r="B56" i="1"/>
  <c r="C56" i="1"/>
  <c r="M56" i="1" s="1"/>
  <c r="D56" i="1"/>
  <c r="E56" i="1"/>
  <c r="F56" i="1"/>
  <c r="H56" i="1"/>
  <c r="A57" i="1"/>
  <c r="B57" i="1"/>
  <c r="C57" i="1"/>
  <c r="M57" i="1" s="1"/>
  <c r="D57" i="1"/>
  <c r="E57" i="1"/>
  <c r="F57" i="1"/>
  <c r="H57" i="1"/>
  <c r="A58" i="1"/>
  <c r="B58" i="1"/>
  <c r="C58" i="1"/>
  <c r="M58" i="1" s="1"/>
  <c r="D58" i="1"/>
  <c r="E58" i="1"/>
  <c r="F58" i="1"/>
  <c r="H58" i="1"/>
  <c r="A59" i="1"/>
  <c r="B59" i="1"/>
  <c r="C59" i="1"/>
  <c r="M59" i="1" s="1"/>
  <c r="D59" i="1"/>
  <c r="E59" i="1"/>
  <c r="F59" i="1"/>
  <c r="H59" i="1"/>
  <c r="A60" i="1"/>
  <c r="B60" i="1"/>
  <c r="C60" i="1"/>
  <c r="M60" i="1" s="1"/>
  <c r="D60" i="1"/>
  <c r="E60" i="1"/>
  <c r="F60" i="1"/>
  <c r="H60" i="1"/>
  <c r="A61" i="1"/>
  <c r="B61" i="1"/>
  <c r="C61" i="1"/>
  <c r="M61" i="1" s="1"/>
  <c r="D61" i="1"/>
  <c r="E61" i="1"/>
  <c r="F61" i="1"/>
  <c r="H61" i="1"/>
  <c r="A62" i="1"/>
  <c r="B62" i="1"/>
  <c r="C62" i="1"/>
  <c r="M62" i="1" s="1"/>
  <c r="D62" i="1"/>
  <c r="E62" i="1"/>
  <c r="F62" i="1"/>
  <c r="H62" i="1"/>
  <c r="A63" i="1"/>
  <c r="B63" i="1"/>
  <c r="C63" i="1"/>
  <c r="M63" i="1" s="1"/>
  <c r="D63" i="1"/>
  <c r="E63" i="1"/>
  <c r="F63" i="1"/>
  <c r="H63" i="1"/>
  <c r="A64" i="1"/>
  <c r="B64" i="1"/>
  <c r="C64" i="1"/>
  <c r="D64" i="1"/>
  <c r="E64" i="1"/>
  <c r="F64" i="1"/>
  <c r="H64" i="1"/>
  <c r="M64" i="1"/>
  <c r="A65" i="1"/>
  <c r="B65" i="1"/>
  <c r="C65" i="1"/>
  <c r="M65" i="1" s="1"/>
  <c r="D65" i="1"/>
  <c r="E65" i="1"/>
  <c r="F65" i="1"/>
  <c r="H65" i="1"/>
  <c r="A66" i="1"/>
  <c r="B66" i="1"/>
  <c r="C66" i="1"/>
  <c r="M66" i="1" s="1"/>
  <c r="D66" i="1"/>
  <c r="E66" i="1"/>
  <c r="F66" i="1"/>
  <c r="H66" i="1"/>
  <c r="A67" i="1"/>
  <c r="B67" i="1"/>
  <c r="C67" i="1"/>
  <c r="M67" i="1" s="1"/>
  <c r="D67" i="1"/>
  <c r="E67" i="1"/>
  <c r="F67" i="1"/>
  <c r="H67" i="1"/>
  <c r="A68" i="1"/>
  <c r="B68" i="1"/>
  <c r="C68" i="1"/>
  <c r="M68" i="1" s="1"/>
  <c r="D68" i="1"/>
  <c r="E68" i="1"/>
  <c r="F68" i="1"/>
  <c r="H68" i="1"/>
  <c r="A69" i="1"/>
  <c r="B69" i="1"/>
  <c r="C69" i="1"/>
  <c r="M69" i="1" s="1"/>
  <c r="D69" i="1"/>
  <c r="E69" i="1"/>
  <c r="F69" i="1"/>
  <c r="H69" i="1"/>
  <c r="A70" i="1"/>
  <c r="B70" i="1"/>
  <c r="C70" i="1"/>
  <c r="M70" i="1" s="1"/>
  <c r="D70" i="1"/>
  <c r="E70" i="1"/>
  <c r="F70" i="1"/>
  <c r="H70" i="1"/>
  <c r="A71" i="1"/>
  <c r="B71" i="1"/>
  <c r="C71" i="1"/>
  <c r="M71" i="1" s="1"/>
  <c r="D71" i="1"/>
  <c r="E71" i="1"/>
  <c r="F71" i="1"/>
  <c r="H71" i="1"/>
  <c r="A72" i="1"/>
  <c r="B72" i="1"/>
  <c r="C72" i="1"/>
  <c r="M72" i="1" s="1"/>
  <c r="D72" i="1"/>
  <c r="E72" i="1"/>
  <c r="F72" i="1"/>
  <c r="H72" i="1"/>
  <c r="A73" i="1"/>
  <c r="B73" i="1"/>
  <c r="C73" i="1"/>
  <c r="M73" i="1" s="1"/>
  <c r="D73" i="1"/>
  <c r="E73" i="1"/>
  <c r="F73" i="1"/>
  <c r="H73" i="1"/>
  <c r="A74" i="1"/>
  <c r="B74" i="1"/>
  <c r="C74" i="1"/>
  <c r="D74" i="1"/>
  <c r="E74" i="1"/>
  <c r="F74" i="1"/>
  <c r="H74" i="1"/>
  <c r="M74" i="1"/>
  <c r="A75" i="1"/>
  <c r="B75" i="1"/>
  <c r="C75" i="1"/>
  <c r="M75" i="1" s="1"/>
  <c r="D75" i="1"/>
  <c r="E75" i="1"/>
  <c r="F75" i="1"/>
  <c r="H75" i="1"/>
  <c r="A76" i="1"/>
  <c r="B76" i="1"/>
  <c r="C76" i="1"/>
  <c r="M76" i="1" s="1"/>
  <c r="D76" i="1"/>
  <c r="E76" i="1"/>
  <c r="F76" i="1"/>
  <c r="H76" i="1"/>
  <c r="A77" i="1"/>
  <c r="B77" i="1"/>
  <c r="C77" i="1"/>
  <c r="D77" i="1"/>
  <c r="E77" i="1"/>
  <c r="F77" i="1"/>
  <c r="H77" i="1"/>
  <c r="M77" i="1"/>
  <c r="A78" i="1"/>
  <c r="B78" i="1"/>
  <c r="C78" i="1"/>
  <c r="M78" i="1" s="1"/>
  <c r="D78" i="1"/>
  <c r="E78" i="1"/>
  <c r="F78" i="1"/>
  <c r="H78" i="1"/>
  <c r="A79" i="1"/>
  <c r="B79" i="1"/>
  <c r="C79" i="1"/>
  <c r="M79" i="1" s="1"/>
  <c r="D79" i="1"/>
  <c r="E79" i="1"/>
  <c r="F79" i="1"/>
  <c r="H79" i="1"/>
  <c r="A80" i="1"/>
  <c r="B80" i="1"/>
  <c r="C80" i="1"/>
  <c r="D80" i="1"/>
  <c r="E80" i="1"/>
  <c r="F80" i="1"/>
  <c r="H80" i="1"/>
  <c r="M80" i="1"/>
  <c r="A81" i="1"/>
  <c r="B81" i="1"/>
  <c r="C81" i="1"/>
  <c r="M81" i="1" s="1"/>
  <c r="D81" i="1"/>
  <c r="E81" i="1"/>
  <c r="F81" i="1"/>
  <c r="H81" i="1"/>
  <c r="A82" i="1"/>
  <c r="B82" i="1"/>
  <c r="C82" i="1"/>
  <c r="D82" i="1"/>
  <c r="E82" i="1"/>
  <c r="F82" i="1"/>
  <c r="H82" i="1"/>
  <c r="M82" i="1"/>
  <c r="A83" i="1"/>
  <c r="B83" i="1"/>
  <c r="C83" i="1"/>
  <c r="M83" i="1" s="1"/>
  <c r="D83" i="1"/>
  <c r="E83" i="1"/>
  <c r="F83" i="1"/>
  <c r="H83" i="1"/>
  <c r="A84" i="1"/>
  <c r="B84" i="1"/>
  <c r="C84" i="1"/>
  <c r="M84" i="1" s="1"/>
  <c r="D84" i="1"/>
  <c r="E84" i="1"/>
  <c r="F84" i="1"/>
  <c r="H84" i="1"/>
  <c r="A85" i="1"/>
  <c r="B85" i="1"/>
  <c r="C85" i="1"/>
  <c r="D85" i="1"/>
  <c r="E85" i="1"/>
  <c r="F85" i="1"/>
  <c r="H85" i="1"/>
  <c r="M85" i="1"/>
  <c r="A86" i="1"/>
  <c r="B86" i="1"/>
  <c r="C86" i="1"/>
  <c r="M86" i="1" s="1"/>
  <c r="D86" i="1"/>
  <c r="E86" i="1"/>
  <c r="F86" i="1"/>
  <c r="H86" i="1"/>
  <c r="A87" i="1"/>
  <c r="B87" i="1"/>
  <c r="C87" i="1"/>
  <c r="M87" i="1" s="1"/>
  <c r="D87" i="1"/>
  <c r="E87" i="1"/>
  <c r="F87" i="1"/>
  <c r="H87" i="1"/>
  <c r="A88" i="1"/>
  <c r="B88" i="1"/>
  <c r="C88" i="1"/>
  <c r="M88" i="1" s="1"/>
  <c r="D88" i="1"/>
  <c r="E88" i="1"/>
  <c r="F88" i="1"/>
  <c r="H88" i="1"/>
  <c r="A89" i="1"/>
  <c r="B89" i="1"/>
  <c r="C89" i="1"/>
  <c r="M89" i="1" s="1"/>
  <c r="D89" i="1"/>
  <c r="E89" i="1"/>
  <c r="F89" i="1"/>
  <c r="H89" i="1"/>
  <c r="A90" i="1"/>
  <c r="B90" i="1"/>
  <c r="C90" i="1"/>
  <c r="M90" i="1" s="1"/>
  <c r="D90" i="1"/>
  <c r="E90" i="1"/>
  <c r="F90" i="1"/>
  <c r="H90" i="1"/>
  <c r="A91" i="1"/>
  <c r="B91" i="1"/>
  <c r="C91" i="1"/>
  <c r="M91" i="1" s="1"/>
  <c r="D91" i="1"/>
  <c r="E91" i="1"/>
  <c r="F91" i="1"/>
  <c r="H91" i="1"/>
  <c r="A92" i="1"/>
  <c r="B92" i="1"/>
  <c r="C92" i="1"/>
  <c r="M92" i="1" s="1"/>
  <c r="D92" i="1"/>
  <c r="E92" i="1"/>
  <c r="F92" i="1"/>
  <c r="H92" i="1"/>
  <c r="A93" i="1"/>
  <c r="B93" i="1"/>
  <c r="C93" i="1"/>
  <c r="M93" i="1" s="1"/>
  <c r="D93" i="1"/>
  <c r="E93" i="1"/>
  <c r="F93" i="1"/>
  <c r="H93" i="1"/>
  <c r="A94" i="1"/>
  <c r="B94" i="1"/>
  <c r="C94" i="1"/>
  <c r="M94" i="1" s="1"/>
  <c r="D94" i="1"/>
  <c r="E94" i="1"/>
  <c r="F94" i="1"/>
  <c r="H94" i="1"/>
  <c r="A95" i="1"/>
  <c r="B95" i="1"/>
  <c r="C95" i="1"/>
  <c r="M95" i="1" s="1"/>
  <c r="D95" i="1"/>
  <c r="E95" i="1"/>
  <c r="F95" i="1"/>
  <c r="H95" i="1"/>
  <c r="A96" i="1"/>
  <c r="B96" i="1"/>
  <c r="C96" i="1"/>
  <c r="M96" i="1" s="1"/>
  <c r="D96" i="1"/>
  <c r="E96" i="1"/>
  <c r="F96" i="1"/>
  <c r="H96" i="1"/>
  <c r="A97" i="1"/>
  <c r="B97" i="1"/>
  <c r="C97" i="1"/>
  <c r="M97" i="1" s="1"/>
  <c r="D97" i="1"/>
  <c r="E97" i="1"/>
  <c r="F97" i="1"/>
  <c r="H97" i="1"/>
  <c r="A98" i="1"/>
  <c r="B98" i="1"/>
  <c r="C98" i="1"/>
  <c r="M98" i="1" s="1"/>
  <c r="D98" i="1"/>
  <c r="E98" i="1"/>
  <c r="F98" i="1"/>
  <c r="H98" i="1"/>
  <c r="A99" i="1"/>
  <c r="B99" i="1"/>
  <c r="C99" i="1"/>
  <c r="M99" i="1" s="1"/>
  <c r="D99" i="1"/>
  <c r="E99" i="1"/>
  <c r="F99" i="1"/>
  <c r="H99" i="1"/>
  <c r="A100" i="1"/>
  <c r="B100" i="1"/>
  <c r="C100" i="1"/>
  <c r="D100" i="1"/>
  <c r="E100" i="1"/>
  <c r="F100" i="1"/>
  <c r="H100" i="1"/>
  <c r="M100" i="1"/>
  <c r="A101" i="1"/>
  <c r="B101" i="1"/>
  <c r="C101" i="1"/>
  <c r="M101" i="1" s="1"/>
  <c r="D101" i="1"/>
  <c r="E101" i="1"/>
  <c r="F101" i="1"/>
  <c r="H101" i="1"/>
  <c r="A102" i="1"/>
  <c r="B102" i="1"/>
  <c r="C102" i="1"/>
  <c r="M102" i="1" s="1"/>
  <c r="D102" i="1"/>
  <c r="E102" i="1"/>
  <c r="F102" i="1"/>
  <c r="H102" i="1"/>
  <c r="A103" i="1"/>
  <c r="B103" i="1"/>
  <c r="C103" i="1"/>
  <c r="M103" i="1" s="1"/>
  <c r="D103" i="1"/>
  <c r="E103" i="1"/>
  <c r="F103" i="1"/>
  <c r="H103" i="1"/>
  <c r="A104" i="1"/>
  <c r="B104" i="1"/>
  <c r="C104" i="1"/>
  <c r="M104" i="1" s="1"/>
  <c r="D104" i="1"/>
  <c r="E104" i="1"/>
  <c r="F104" i="1"/>
  <c r="H104" i="1"/>
  <c r="A105" i="1"/>
  <c r="B105" i="1"/>
  <c r="C105" i="1"/>
  <c r="M105" i="1" s="1"/>
  <c r="D105" i="1"/>
  <c r="E105" i="1"/>
  <c r="F105" i="1"/>
  <c r="H105" i="1"/>
  <c r="A106" i="1"/>
  <c r="B106" i="1"/>
  <c r="C106" i="1"/>
  <c r="M106" i="1" s="1"/>
  <c r="D106" i="1"/>
  <c r="E106" i="1"/>
  <c r="F106" i="1"/>
  <c r="H106" i="1"/>
  <c r="A107" i="1"/>
  <c r="B107" i="1"/>
  <c r="C107" i="1"/>
  <c r="M107" i="1" s="1"/>
  <c r="D107" i="1"/>
  <c r="E107" i="1"/>
  <c r="F107" i="1"/>
  <c r="H107" i="1"/>
  <c r="A108" i="1"/>
  <c r="B108" i="1"/>
  <c r="C108" i="1"/>
  <c r="M108" i="1" s="1"/>
  <c r="D108" i="1"/>
  <c r="E108" i="1"/>
  <c r="F108" i="1"/>
  <c r="H108" i="1"/>
  <c r="A109" i="1"/>
  <c r="B109" i="1"/>
  <c r="C109" i="1"/>
  <c r="D109" i="1"/>
  <c r="E109" i="1"/>
  <c r="F109" i="1"/>
  <c r="H109" i="1"/>
  <c r="M109" i="1"/>
  <c r="A110" i="1"/>
  <c r="B110" i="1"/>
  <c r="C110" i="1"/>
  <c r="M110" i="1" s="1"/>
  <c r="D110" i="1"/>
  <c r="E110" i="1"/>
  <c r="F110" i="1"/>
  <c r="H110" i="1"/>
  <c r="A111" i="1"/>
  <c r="B111" i="1"/>
  <c r="C111" i="1"/>
  <c r="M111" i="1" s="1"/>
  <c r="D111" i="1"/>
  <c r="E111" i="1"/>
  <c r="F111" i="1"/>
  <c r="H111" i="1"/>
  <c r="A112" i="1"/>
  <c r="B112" i="1"/>
  <c r="C112" i="1"/>
  <c r="M112" i="1" s="1"/>
  <c r="D112" i="1"/>
  <c r="E112" i="1"/>
  <c r="F112" i="1"/>
  <c r="H112" i="1"/>
  <c r="A113" i="1"/>
  <c r="B113" i="1"/>
  <c r="C113" i="1"/>
  <c r="M113" i="1" s="1"/>
  <c r="D113" i="1"/>
  <c r="E113" i="1"/>
  <c r="F113" i="1"/>
  <c r="H113" i="1"/>
  <c r="A114" i="1"/>
  <c r="B114" i="1"/>
  <c r="C114" i="1"/>
  <c r="D114" i="1"/>
  <c r="E114" i="1"/>
  <c r="F114" i="1"/>
  <c r="H114" i="1"/>
  <c r="M114" i="1"/>
  <c r="A115" i="1"/>
  <c r="B115" i="1"/>
  <c r="C115" i="1"/>
  <c r="M115" i="1" s="1"/>
  <c r="D115" i="1"/>
  <c r="E115" i="1"/>
  <c r="F115" i="1"/>
  <c r="H115" i="1"/>
  <c r="A116" i="1"/>
  <c r="B116" i="1"/>
  <c r="C116" i="1"/>
  <c r="M116" i="1" s="1"/>
  <c r="D116" i="1"/>
  <c r="E116" i="1"/>
  <c r="F116" i="1"/>
  <c r="H116" i="1"/>
  <c r="A117" i="1"/>
  <c r="B117" i="1"/>
  <c r="C117" i="1"/>
  <c r="M117" i="1" s="1"/>
  <c r="D117" i="1"/>
  <c r="E117" i="1"/>
  <c r="F117" i="1"/>
  <c r="H117" i="1"/>
  <c r="A118" i="1"/>
  <c r="B118" i="1"/>
  <c r="C118" i="1"/>
  <c r="M118" i="1" s="1"/>
  <c r="D118" i="1"/>
  <c r="E118" i="1"/>
  <c r="F118" i="1"/>
  <c r="H118" i="1"/>
  <c r="A119" i="1"/>
  <c r="B119" i="1"/>
  <c r="C119" i="1"/>
  <c r="M119" i="1" s="1"/>
  <c r="D119" i="1"/>
  <c r="E119" i="1"/>
  <c r="F119" i="1"/>
  <c r="H119" i="1"/>
  <c r="A120" i="1"/>
  <c r="B120" i="1"/>
  <c r="C120" i="1"/>
  <c r="M120" i="1" s="1"/>
  <c r="D120" i="1"/>
  <c r="E120" i="1"/>
  <c r="F120" i="1"/>
  <c r="H120" i="1"/>
  <c r="A121" i="1"/>
  <c r="B121" i="1"/>
  <c r="C121" i="1"/>
  <c r="M121" i="1" s="1"/>
  <c r="D121" i="1"/>
  <c r="E121" i="1"/>
  <c r="F121" i="1"/>
  <c r="H121" i="1"/>
  <c r="A122" i="1"/>
  <c r="B122" i="1"/>
  <c r="C122" i="1"/>
  <c r="M122" i="1" s="1"/>
  <c r="D122" i="1"/>
  <c r="E122" i="1"/>
  <c r="F122" i="1"/>
  <c r="H122" i="1"/>
  <c r="A123" i="1"/>
  <c r="B123" i="1"/>
  <c r="C123" i="1"/>
  <c r="M123" i="1" s="1"/>
  <c r="D123" i="1"/>
  <c r="E123" i="1"/>
  <c r="F123" i="1"/>
  <c r="H123" i="1"/>
  <c r="A124" i="1"/>
  <c r="B124" i="1"/>
  <c r="C124" i="1"/>
  <c r="M124" i="1" s="1"/>
  <c r="D124" i="1"/>
  <c r="E124" i="1"/>
  <c r="F124" i="1"/>
  <c r="H124" i="1"/>
  <c r="A125" i="1"/>
  <c r="B125" i="1"/>
  <c r="C125" i="1"/>
  <c r="M125" i="1" s="1"/>
  <c r="D125" i="1"/>
  <c r="E125" i="1"/>
  <c r="F125" i="1"/>
  <c r="H125" i="1"/>
  <c r="A126" i="1"/>
  <c r="B126" i="1"/>
  <c r="C126" i="1"/>
  <c r="M126" i="1" s="1"/>
  <c r="D126" i="1"/>
  <c r="E126" i="1"/>
  <c r="F126" i="1"/>
  <c r="H126" i="1"/>
  <c r="A127" i="1"/>
  <c r="B127" i="1"/>
  <c r="C127" i="1"/>
  <c r="M127" i="1" s="1"/>
  <c r="D127" i="1"/>
  <c r="E127" i="1"/>
  <c r="F127" i="1"/>
  <c r="H127" i="1"/>
  <c r="A128" i="1"/>
  <c r="B128" i="1"/>
  <c r="C128" i="1"/>
  <c r="M128" i="1" s="1"/>
  <c r="D128" i="1"/>
  <c r="E128" i="1"/>
  <c r="F128" i="1"/>
  <c r="H128" i="1"/>
  <c r="A129" i="1"/>
  <c r="B129" i="1"/>
  <c r="C129" i="1"/>
  <c r="M129" i="1" s="1"/>
  <c r="D129" i="1"/>
  <c r="E129" i="1"/>
  <c r="F129" i="1"/>
  <c r="H129" i="1"/>
  <c r="A130" i="1"/>
  <c r="B130" i="1"/>
  <c r="C130" i="1"/>
  <c r="M130" i="1" s="1"/>
  <c r="D130" i="1"/>
  <c r="E130" i="1"/>
  <c r="F130" i="1"/>
  <c r="H130" i="1"/>
  <c r="A131" i="1"/>
  <c r="B131" i="1"/>
  <c r="C131" i="1"/>
  <c r="M131" i="1" s="1"/>
  <c r="D131" i="1"/>
  <c r="E131" i="1"/>
  <c r="F131" i="1"/>
  <c r="H131" i="1"/>
  <c r="A132" i="1"/>
  <c r="B132" i="1"/>
  <c r="C132" i="1"/>
  <c r="M132" i="1" s="1"/>
  <c r="D132" i="1"/>
  <c r="E132" i="1"/>
  <c r="F132" i="1"/>
  <c r="H132" i="1"/>
  <c r="A133" i="1"/>
  <c r="B133" i="1"/>
  <c r="C133" i="1"/>
  <c r="M133" i="1" s="1"/>
  <c r="D133" i="1"/>
  <c r="E133" i="1"/>
  <c r="F133" i="1"/>
  <c r="H133" i="1"/>
  <c r="A134" i="1"/>
  <c r="B134" i="1"/>
  <c r="C134" i="1"/>
  <c r="M134" i="1" s="1"/>
  <c r="D134" i="1"/>
  <c r="E134" i="1"/>
  <c r="F134" i="1"/>
  <c r="H134" i="1"/>
  <c r="A135" i="1"/>
  <c r="B135" i="1"/>
  <c r="C135" i="1"/>
  <c r="M135" i="1" s="1"/>
  <c r="D135" i="1"/>
  <c r="E135" i="1"/>
  <c r="F135" i="1"/>
  <c r="H135" i="1"/>
  <c r="A136" i="1"/>
  <c r="B136" i="1"/>
  <c r="C136" i="1"/>
  <c r="M136" i="1" s="1"/>
  <c r="D136" i="1"/>
  <c r="E136" i="1"/>
  <c r="F136" i="1"/>
  <c r="H136" i="1"/>
  <c r="A137" i="1"/>
  <c r="B137" i="1"/>
  <c r="C137" i="1"/>
  <c r="M137" i="1" s="1"/>
  <c r="D137" i="1"/>
  <c r="E137" i="1"/>
  <c r="F137" i="1"/>
  <c r="H137" i="1"/>
  <c r="A138" i="1"/>
  <c r="B138" i="1"/>
  <c r="C138" i="1"/>
  <c r="M138" i="1" s="1"/>
  <c r="D138" i="1"/>
  <c r="E138" i="1"/>
  <c r="F138" i="1"/>
  <c r="H138" i="1"/>
  <c r="A139" i="1"/>
  <c r="B139" i="1"/>
  <c r="C139" i="1"/>
  <c r="M139" i="1" s="1"/>
  <c r="D139" i="1"/>
  <c r="E139" i="1"/>
  <c r="F139" i="1"/>
  <c r="H139" i="1"/>
  <c r="A140" i="1"/>
  <c r="B140" i="1"/>
  <c r="C140" i="1"/>
  <c r="M140" i="1" s="1"/>
  <c r="D140" i="1"/>
  <c r="E140" i="1"/>
  <c r="F140" i="1"/>
  <c r="H140" i="1"/>
  <c r="A141" i="1"/>
  <c r="B141" i="1"/>
  <c r="C141" i="1"/>
  <c r="M141" i="1" s="1"/>
  <c r="D141" i="1"/>
  <c r="E141" i="1"/>
  <c r="F141" i="1"/>
  <c r="H141" i="1"/>
  <c r="A142" i="1"/>
  <c r="B142" i="1"/>
  <c r="C142" i="1"/>
  <c r="M142" i="1" s="1"/>
  <c r="D142" i="1"/>
  <c r="E142" i="1"/>
  <c r="F142" i="1"/>
  <c r="H142" i="1"/>
  <c r="A143" i="1"/>
  <c r="B143" i="1"/>
  <c r="C143" i="1"/>
  <c r="M143" i="1" s="1"/>
  <c r="D143" i="1"/>
  <c r="E143" i="1"/>
  <c r="F143" i="1"/>
  <c r="H143" i="1"/>
  <c r="A144" i="1"/>
  <c r="B144" i="1"/>
  <c r="C144" i="1"/>
  <c r="M144" i="1" s="1"/>
  <c r="D144" i="1"/>
  <c r="E144" i="1"/>
  <c r="F144" i="1"/>
  <c r="H144" i="1"/>
  <c r="A145" i="1"/>
  <c r="B145" i="1"/>
  <c r="C145" i="1"/>
  <c r="M145" i="1" s="1"/>
  <c r="D145" i="1"/>
  <c r="E145" i="1"/>
  <c r="F145" i="1"/>
  <c r="H145" i="1"/>
  <c r="A146" i="1"/>
  <c r="B146" i="1"/>
  <c r="C146" i="1"/>
  <c r="M146" i="1" s="1"/>
  <c r="D146" i="1"/>
  <c r="E146" i="1"/>
  <c r="F146" i="1"/>
  <c r="H146" i="1"/>
  <c r="A147" i="1"/>
  <c r="B147" i="1"/>
  <c r="C147" i="1"/>
  <c r="M147" i="1" s="1"/>
  <c r="D147" i="1"/>
  <c r="E147" i="1"/>
  <c r="F147" i="1"/>
  <c r="H147" i="1"/>
  <c r="A148" i="1"/>
  <c r="B148" i="1"/>
  <c r="C148" i="1"/>
  <c r="M148" i="1" s="1"/>
  <c r="D148" i="1"/>
  <c r="E148" i="1"/>
  <c r="F148" i="1"/>
  <c r="H148" i="1"/>
  <c r="A149" i="1"/>
  <c r="B149" i="1"/>
  <c r="C149" i="1"/>
  <c r="M149" i="1" s="1"/>
  <c r="D149" i="1"/>
  <c r="E149" i="1"/>
  <c r="F149" i="1"/>
  <c r="H149" i="1"/>
  <c r="A150" i="1"/>
  <c r="B150" i="1"/>
  <c r="C150" i="1"/>
  <c r="M150" i="1" s="1"/>
  <c r="D150" i="1"/>
  <c r="E150" i="1"/>
  <c r="F150" i="1"/>
  <c r="H150" i="1"/>
  <c r="A151" i="1"/>
  <c r="B151" i="1"/>
  <c r="C151" i="1"/>
  <c r="M151" i="1" s="1"/>
  <c r="D151" i="1"/>
  <c r="E151" i="1"/>
  <c r="F151" i="1"/>
  <c r="H151" i="1"/>
  <c r="A152" i="1"/>
  <c r="B152" i="1"/>
  <c r="C152" i="1"/>
  <c r="M152" i="1" s="1"/>
  <c r="D152" i="1"/>
  <c r="E152" i="1"/>
  <c r="F152" i="1"/>
  <c r="H152" i="1"/>
  <c r="A153" i="1"/>
  <c r="B153" i="1"/>
  <c r="C153" i="1"/>
  <c r="M153" i="1" s="1"/>
  <c r="D153" i="1"/>
  <c r="E153" i="1"/>
  <c r="F153" i="1"/>
  <c r="H153" i="1"/>
  <c r="A154" i="1"/>
  <c r="B154" i="1"/>
  <c r="C154" i="1"/>
  <c r="M154" i="1" s="1"/>
  <c r="D154" i="1"/>
  <c r="E154" i="1"/>
  <c r="F154" i="1"/>
  <c r="H154" i="1"/>
  <c r="A155" i="1"/>
  <c r="B155" i="1"/>
  <c r="C155" i="1"/>
  <c r="M155" i="1" s="1"/>
  <c r="D155" i="1"/>
  <c r="E155" i="1"/>
  <c r="F155" i="1"/>
  <c r="H155" i="1"/>
  <c r="A156" i="1"/>
  <c r="B156" i="1"/>
  <c r="C156" i="1"/>
  <c r="D156" i="1"/>
  <c r="E156" i="1"/>
  <c r="F156" i="1"/>
  <c r="H156" i="1"/>
  <c r="M156" i="1"/>
  <c r="A157" i="1"/>
  <c r="B157" i="1"/>
  <c r="C157" i="1"/>
  <c r="M157" i="1" s="1"/>
  <c r="D157" i="1"/>
  <c r="E157" i="1"/>
  <c r="F157" i="1"/>
  <c r="H157" i="1"/>
  <c r="A158" i="1"/>
  <c r="B158" i="1"/>
  <c r="C158" i="1"/>
  <c r="M158" i="1" s="1"/>
  <c r="D158" i="1"/>
  <c r="E158" i="1"/>
  <c r="F158" i="1"/>
  <c r="H158" i="1"/>
  <c r="A159" i="1"/>
  <c r="B159" i="1"/>
  <c r="C159" i="1"/>
  <c r="M159" i="1" s="1"/>
  <c r="D159" i="1"/>
  <c r="E159" i="1"/>
  <c r="F159" i="1"/>
  <c r="H159" i="1"/>
  <c r="A160" i="1"/>
  <c r="B160" i="1"/>
  <c r="C160" i="1"/>
  <c r="M160" i="1" s="1"/>
  <c r="D160" i="1"/>
  <c r="E160" i="1"/>
  <c r="F160" i="1"/>
  <c r="H160" i="1"/>
  <c r="A161" i="1"/>
  <c r="B161" i="1"/>
  <c r="C161" i="1"/>
  <c r="M161" i="1" s="1"/>
  <c r="D161" i="1"/>
  <c r="E161" i="1"/>
  <c r="F161" i="1"/>
  <c r="H161" i="1"/>
  <c r="A162" i="1"/>
  <c r="B162" i="1"/>
  <c r="C162" i="1"/>
  <c r="M162" i="1" s="1"/>
  <c r="D162" i="1"/>
  <c r="E162" i="1"/>
  <c r="F162" i="1"/>
  <c r="H162" i="1"/>
  <c r="A163" i="1"/>
  <c r="B163" i="1"/>
  <c r="C163" i="1"/>
  <c r="M163" i="1" s="1"/>
  <c r="D163" i="1"/>
  <c r="E163" i="1"/>
  <c r="F163" i="1"/>
  <c r="H163" i="1"/>
  <c r="A164" i="1"/>
  <c r="B164" i="1"/>
  <c r="C164" i="1"/>
  <c r="M164" i="1" s="1"/>
  <c r="D164" i="1"/>
  <c r="E164" i="1"/>
  <c r="F164" i="1"/>
  <c r="H164" i="1"/>
  <c r="A165" i="1"/>
  <c r="B165" i="1"/>
  <c r="C165" i="1"/>
  <c r="M165" i="1" s="1"/>
  <c r="D165" i="1"/>
  <c r="E165" i="1"/>
  <c r="F165" i="1"/>
  <c r="H165" i="1"/>
  <c r="A166" i="1"/>
  <c r="B166" i="1"/>
  <c r="C166" i="1"/>
  <c r="M166" i="1" s="1"/>
  <c r="D166" i="1"/>
  <c r="E166" i="1"/>
  <c r="F166" i="1"/>
  <c r="H166" i="1"/>
  <c r="A167" i="1"/>
  <c r="B167" i="1"/>
  <c r="C167" i="1"/>
  <c r="M167" i="1" s="1"/>
  <c r="D167" i="1"/>
  <c r="E167" i="1"/>
  <c r="F167" i="1"/>
  <c r="H167" i="1"/>
  <c r="A168" i="1"/>
  <c r="B168" i="1"/>
  <c r="C168" i="1"/>
  <c r="M168" i="1" s="1"/>
  <c r="D168" i="1"/>
  <c r="E168" i="1"/>
  <c r="F168" i="1"/>
  <c r="H168" i="1"/>
  <c r="A169" i="1"/>
  <c r="B169" i="1"/>
  <c r="C169" i="1"/>
  <c r="M169" i="1" s="1"/>
  <c r="D169" i="1"/>
  <c r="E169" i="1"/>
  <c r="F169" i="1"/>
  <c r="H169" i="1"/>
  <c r="A170" i="1"/>
  <c r="B170" i="1"/>
  <c r="C170" i="1"/>
  <c r="M170" i="1" s="1"/>
  <c r="D170" i="1"/>
  <c r="E170" i="1"/>
  <c r="F170" i="1"/>
  <c r="H170" i="1"/>
  <c r="A171" i="1"/>
  <c r="B171" i="1"/>
  <c r="C171" i="1"/>
  <c r="M171" i="1" s="1"/>
  <c r="D171" i="1"/>
  <c r="E171" i="1"/>
  <c r="F171" i="1"/>
  <c r="H171" i="1"/>
  <c r="A172" i="1"/>
  <c r="B172" i="1"/>
  <c r="C172" i="1"/>
  <c r="M172" i="1" s="1"/>
  <c r="D172" i="1"/>
  <c r="E172" i="1"/>
  <c r="F172" i="1"/>
  <c r="H172" i="1"/>
  <c r="A173" i="1"/>
  <c r="B173" i="1"/>
  <c r="C173" i="1"/>
  <c r="M173" i="1" s="1"/>
  <c r="D173" i="1"/>
  <c r="E173" i="1"/>
  <c r="F173" i="1"/>
  <c r="H173" i="1"/>
  <c r="A174" i="1"/>
  <c r="B174" i="1"/>
  <c r="C174" i="1"/>
  <c r="M174" i="1" s="1"/>
  <c r="D174" i="1"/>
  <c r="E174" i="1"/>
  <c r="F174" i="1"/>
  <c r="H174" i="1"/>
  <c r="A175" i="1"/>
  <c r="B175" i="1"/>
  <c r="C175" i="1"/>
  <c r="M175" i="1" s="1"/>
  <c r="D175" i="1"/>
  <c r="E175" i="1"/>
  <c r="F175" i="1"/>
  <c r="H175" i="1"/>
  <c r="A176" i="1"/>
  <c r="B176" i="1"/>
  <c r="C176" i="1"/>
  <c r="M176" i="1" s="1"/>
  <c r="D176" i="1"/>
  <c r="E176" i="1"/>
  <c r="F176" i="1"/>
  <c r="H176" i="1"/>
  <c r="A177" i="1"/>
  <c r="B177" i="1"/>
  <c r="C177" i="1"/>
  <c r="M177" i="1" s="1"/>
  <c r="D177" i="1"/>
  <c r="E177" i="1"/>
  <c r="F177" i="1"/>
  <c r="H177" i="1"/>
  <c r="A178" i="1"/>
  <c r="B178" i="1"/>
  <c r="C178" i="1"/>
  <c r="M178" i="1" s="1"/>
  <c r="D178" i="1"/>
  <c r="E178" i="1"/>
  <c r="F178" i="1"/>
  <c r="H178" i="1"/>
  <c r="A179" i="1"/>
  <c r="B179" i="1"/>
  <c r="C179" i="1"/>
  <c r="M179" i="1" s="1"/>
  <c r="D179" i="1"/>
  <c r="E179" i="1"/>
  <c r="F179" i="1"/>
  <c r="H179" i="1"/>
  <c r="A180" i="1"/>
  <c r="B180" i="1"/>
  <c r="C180" i="1"/>
  <c r="M180" i="1" s="1"/>
  <c r="D180" i="1"/>
  <c r="E180" i="1"/>
  <c r="F180" i="1"/>
  <c r="H180" i="1"/>
  <c r="A181" i="1"/>
  <c r="B181" i="1"/>
  <c r="C181" i="1"/>
  <c r="M181" i="1" s="1"/>
  <c r="D181" i="1"/>
  <c r="E181" i="1"/>
  <c r="F181" i="1"/>
  <c r="H181" i="1"/>
  <c r="A182" i="1"/>
  <c r="B182" i="1"/>
  <c r="C182" i="1"/>
  <c r="M182" i="1" s="1"/>
  <c r="D182" i="1"/>
  <c r="E182" i="1"/>
  <c r="F182" i="1"/>
  <c r="H182" i="1"/>
  <c r="A183" i="1"/>
  <c r="B183" i="1"/>
  <c r="C183" i="1"/>
  <c r="M183" i="1" s="1"/>
  <c r="D183" i="1"/>
  <c r="E183" i="1"/>
  <c r="F183" i="1"/>
  <c r="H183" i="1"/>
  <c r="A184" i="1"/>
  <c r="B184" i="1"/>
  <c r="C184" i="1"/>
  <c r="M184" i="1" s="1"/>
  <c r="D184" i="1"/>
  <c r="E184" i="1"/>
  <c r="F184" i="1"/>
  <c r="H184" i="1"/>
  <c r="A185" i="1"/>
  <c r="B185" i="1"/>
  <c r="C185" i="1"/>
  <c r="M185" i="1" s="1"/>
  <c r="D185" i="1"/>
  <c r="E185" i="1"/>
  <c r="F185" i="1"/>
  <c r="H185" i="1"/>
  <c r="A186" i="1"/>
  <c r="B186" i="1"/>
  <c r="C186" i="1"/>
  <c r="D186" i="1"/>
  <c r="E186" i="1"/>
  <c r="F186" i="1"/>
  <c r="H186" i="1"/>
  <c r="M186" i="1"/>
  <c r="A187" i="1"/>
  <c r="B187" i="1"/>
  <c r="C187" i="1"/>
  <c r="M187" i="1" s="1"/>
  <c r="D187" i="1"/>
  <c r="E187" i="1"/>
  <c r="F187" i="1"/>
  <c r="H187" i="1"/>
  <c r="A188" i="1"/>
  <c r="B188" i="1"/>
  <c r="C188" i="1"/>
  <c r="M188" i="1" s="1"/>
  <c r="D188" i="1"/>
  <c r="E188" i="1"/>
  <c r="F188" i="1"/>
  <c r="H188" i="1"/>
  <c r="A189" i="1"/>
  <c r="B189" i="1"/>
  <c r="C189" i="1"/>
  <c r="D189" i="1"/>
  <c r="E189" i="1"/>
  <c r="F189" i="1"/>
  <c r="H189" i="1"/>
  <c r="M189" i="1"/>
  <c r="A190" i="1"/>
  <c r="B190" i="1"/>
  <c r="C190" i="1"/>
  <c r="M190" i="1" s="1"/>
  <c r="D190" i="1"/>
  <c r="E190" i="1"/>
  <c r="F190" i="1"/>
  <c r="H190" i="1"/>
  <c r="A191" i="1"/>
  <c r="B191" i="1"/>
  <c r="C191" i="1"/>
  <c r="M191" i="1" s="1"/>
  <c r="D191" i="1"/>
  <c r="E191" i="1"/>
  <c r="F191" i="1"/>
  <c r="H191" i="1"/>
  <c r="A192" i="1"/>
  <c r="B192" i="1"/>
  <c r="C192" i="1"/>
  <c r="M192" i="1" s="1"/>
  <c r="D192" i="1"/>
  <c r="E192" i="1"/>
  <c r="F192" i="1"/>
  <c r="H192" i="1"/>
  <c r="A193" i="1"/>
  <c r="B193" i="1"/>
  <c r="C193" i="1"/>
  <c r="M193" i="1" s="1"/>
  <c r="D193" i="1"/>
  <c r="E193" i="1"/>
  <c r="F193" i="1"/>
  <c r="H193" i="1"/>
  <c r="A194" i="1"/>
  <c r="B194" i="1"/>
  <c r="C194" i="1"/>
  <c r="D194" i="1"/>
  <c r="E194" i="1"/>
  <c r="F194" i="1"/>
  <c r="H194" i="1"/>
  <c r="M194" i="1"/>
  <c r="A195" i="1"/>
  <c r="B195" i="1"/>
  <c r="C195" i="1"/>
  <c r="M195" i="1" s="1"/>
  <c r="D195" i="1"/>
  <c r="E195" i="1"/>
  <c r="F195" i="1"/>
  <c r="H195" i="1"/>
  <c r="A196" i="1"/>
  <c r="B196" i="1"/>
  <c r="C196" i="1"/>
  <c r="M196" i="1" s="1"/>
  <c r="D196" i="1"/>
  <c r="E196" i="1"/>
  <c r="F196" i="1"/>
  <c r="H196" i="1"/>
  <c r="A197" i="1"/>
  <c r="B197" i="1"/>
  <c r="C197" i="1"/>
  <c r="D197" i="1"/>
  <c r="E197" i="1"/>
  <c r="F197" i="1"/>
  <c r="H197" i="1"/>
  <c r="M197" i="1"/>
  <c r="A198" i="1"/>
  <c r="B198" i="1"/>
  <c r="C198" i="1"/>
  <c r="M198" i="1" s="1"/>
  <c r="D198" i="1"/>
  <c r="E198" i="1"/>
  <c r="F198" i="1"/>
  <c r="H198" i="1"/>
  <c r="A199" i="1"/>
  <c r="B199" i="1"/>
  <c r="C199" i="1"/>
  <c r="M199" i="1" s="1"/>
  <c r="D199" i="1"/>
  <c r="E199" i="1"/>
  <c r="F199" i="1"/>
  <c r="H199" i="1"/>
  <c r="A200" i="1"/>
  <c r="B200" i="1"/>
  <c r="C200" i="1"/>
  <c r="M200" i="1" s="1"/>
  <c r="D200" i="1"/>
  <c r="E200" i="1"/>
  <c r="F200" i="1"/>
  <c r="H200" i="1"/>
  <c r="A201" i="1"/>
  <c r="B201" i="1"/>
  <c r="C201" i="1"/>
  <c r="M201" i="1" s="1"/>
  <c r="D201" i="1"/>
  <c r="E201" i="1"/>
  <c r="F201" i="1"/>
  <c r="H201" i="1"/>
  <c r="A202" i="1"/>
  <c r="B202" i="1"/>
  <c r="C202" i="1"/>
  <c r="D202" i="1"/>
  <c r="E202" i="1"/>
  <c r="F202" i="1"/>
  <c r="H202" i="1"/>
  <c r="M202" i="1"/>
  <c r="A203" i="1"/>
  <c r="B203" i="1"/>
  <c r="C203" i="1"/>
  <c r="M203" i="1" s="1"/>
  <c r="D203" i="1"/>
  <c r="E203" i="1"/>
  <c r="F203" i="1"/>
  <c r="H203" i="1"/>
  <c r="A204" i="1"/>
  <c r="B204" i="1"/>
  <c r="C204" i="1"/>
  <c r="M204" i="1" s="1"/>
  <c r="D204" i="1"/>
  <c r="E204" i="1"/>
  <c r="F204" i="1"/>
  <c r="H204" i="1"/>
  <c r="A205" i="1"/>
  <c r="B205" i="1"/>
  <c r="C205" i="1"/>
  <c r="M205" i="1" s="1"/>
  <c r="D205" i="1"/>
  <c r="E205" i="1"/>
  <c r="F205" i="1"/>
  <c r="H205" i="1"/>
  <c r="A206" i="1"/>
  <c r="B206" i="1"/>
  <c r="C206" i="1"/>
  <c r="M206" i="1" s="1"/>
  <c r="D206" i="1"/>
  <c r="E206" i="1"/>
  <c r="F206" i="1"/>
  <c r="H206" i="1"/>
  <c r="A207" i="1"/>
  <c r="B207" i="1"/>
  <c r="C207" i="1"/>
  <c r="M207" i="1" s="1"/>
  <c r="D207" i="1"/>
  <c r="E207" i="1"/>
  <c r="F207" i="1"/>
  <c r="H207" i="1"/>
  <c r="A208" i="1"/>
  <c r="B208" i="1"/>
  <c r="C208" i="1"/>
  <c r="M208" i="1" s="1"/>
  <c r="D208" i="1"/>
  <c r="E208" i="1"/>
  <c r="F208" i="1"/>
  <c r="H208" i="1"/>
  <c r="A209" i="1"/>
  <c r="B209" i="1"/>
  <c r="C209" i="1"/>
  <c r="D209" i="1"/>
  <c r="E209" i="1"/>
  <c r="F209" i="1"/>
  <c r="H209" i="1"/>
  <c r="M209" i="1"/>
  <c r="A210" i="1"/>
  <c r="B210" i="1"/>
  <c r="C210" i="1"/>
  <c r="M210" i="1" s="1"/>
  <c r="D210" i="1"/>
  <c r="E210" i="1"/>
  <c r="F210" i="1"/>
  <c r="H210" i="1"/>
  <c r="A211" i="1"/>
  <c r="B211" i="1"/>
  <c r="C211" i="1"/>
  <c r="M211" i="1" s="1"/>
  <c r="D211" i="1"/>
  <c r="E211" i="1"/>
  <c r="F211" i="1"/>
  <c r="H211" i="1"/>
  <c r="A212" i="1"/>
  <c r="B212" i="1"/>
  <c r="C212" i="1"/>
  <c r="M212" i="1" s="1"/>
  <c r="D212" i="1"/>
  <c r="E212" i="1"/>
  <c r="F212" i="1"/>
  <c r="H212" i="1"/>
  <c r="A213" i="1"/>
  <c r="B213" i="1"/>
  <c r="C213" i="1"/>
  <c r="M213" i="1" s="1"/>
  <c r="D213" i="1"/>
  <c r="E213" i="1"/>
  <c r="F213" i="1"/>
  <c r="H213" i="1"/>
  <c r="A214" i="1"/>
  <c r="B214" i="1"/>
  <c r="C214" i="1"/>
  <c r="M214" i="1" s="1"/>
  <c r="D214" i="1"/>
  <c r="E214" i="1"/>
  <c r="F214" i="1"/>
  <c r="H214" i="1"/>
  <c r="A215" i="1"/>
  <c r="B215" i="1"/>
  <c r="C215" i="1"/>
  <c r="M215" i="1" s="1"/>
  <c r="D215" i="1"/>
  <c r="E215" i="1"/>
  <c r="F215" i="1"/>
  <c r="H215" i="1"/>
  <c r="A216" i="1"/>
  <c r="B216" i="1"/>
  <c r="C216" i="1"/>
  <c r="M216" i="1" s="1"/>
  <c r="D216" i="1"/>
  <c r="E216" i="1"/>
  <c r="F216" i="1"/>
  <c r="H216" i="1"/>
  <c r="A217" i="1"/>
  <c r="B217" i="1"/>
  <c r="C217" i="1"/>
  <c r="M217" i="1" s="1"/>
  <c r="D217" i="1"/>
  <c r="E217" i="1"/>
  <c r="F217" i="1"/>
  <c r="H217" i="1"/>
  <c r="A218" i="1"/>
  <c r="B218" i="1"/>
  <c r="C218" i="1"/>
  <c r="M218" i="1" s="1"/>
  <c r="D218" i="1"/>
  <c r="E218" i="1"/>
  <c r="F218" i="1"/>
  <c r="H218" i="1"/>
  <c r="A219" i="1"/>
  <c r="B219" i="1"/>
  <c r="C219" i="1"/>
  <c r="D219" i="1"/>
  <c r="E219" i="1"/>
  <c r="F219" i="1"/>
  <c r="H219" i="1"/>
  <c r="M219" i="1"/>
  <c r="A220" i="1"/>
  <c r="B220" i="1"/>
  <c r="C220" i="1"/>
  <c r="M220" i="1" s="1"/>
  <c r="D220" i="1"/>
  <c r="E220" i="1"/>
  <c r="F220" i="1"/>
  <c r="H220" i="1"/>
  <c r="A221" i="1"/>
  <c r="B221" i="1"/>
  <c r="C221" i="1"/>
  <c r="M221" i="1" s="1"/>
  <c r="D221" i="1"/>
  <c r="E221" i="1"/>
  <c r="F221" i="1"/>
  <c r="H221" i="1"/>
  <c r="A222" i="1"/>
  <c r="B222" i="1"/>
  <c r="C222" i="1"/>
  <c r="D222" i="1"/>
  <c r="E222" i="1"/>
  <c r="F222" i="1"/>
  <c r="H222" i="1"/>
  <c r="M222" i="1"/>
  <c r="A223" i="1"/>
  <c r="B223" i="1"/>
  <c r="C223" i="1"/>
  <c r="M223" i="1" s="1"/>
  <c r="D223" i="1"/>
  <c r="E223" i="1"/>
  <c r="F223" i="1"/>
  <c r="H223" i="1"/>
  <c r="A224" i="1"/>
  <c r="B224" i="1"/>
  <c r="C224" i="1"/>
  <c r="M224" i="1" s="1"/>
  <c r="D224" i="1"/>
  <c r="E224" i="1"/>
  <c r="F224" i="1"/>
  <c r="H224" i="1"/>
  <c r="A225" i="1"/>
  <c r="B225" i="1"/>
  <c r="C225" i="1"/>
  <c r="M225" i="1" s="1"/>
  <c r="D225" i="1"/>
  <c r="E225" i="1"/>
  <c r="F225" i="1"/>
  <c r="H225" i="1"/>
  <c r="A226" i="1"/>
  <c r="B226" i="1"/>
  <c r="C226" i="1"/>
  <c r="M226" i="1" s="1"/>
  <c r="D226" i="1"/>
  <c r="E226" i="1"/>
  <c r="F226" i="1"/>
  <c r="H226" i="1"/>
  <c r="A227" i="1"/>
  <c r="B227" i="1"/>
  <c r="C227" i="1"/>
  <c r="M227" i="1" s="1"/>
  <c r="D227" i="1"/>
  <c r="E227" i="1"/>
  <c r="F227" i="1"/>
  <c r="H227" i="1"/>
  <c r="A228" i="1"/>
  <c r="B228" i="1"/>
  <c r="C228" i="1"/>
  <c r="M228" i="1" s="1"/>
  <c r="D228" i="1"/>
  <c r="E228" i="1"/>
  <c r="F228" i="1"/>
  <c r="H228" i="1"/>
  <c r="A229" i="1"/>
  <c r="B229" i="1"/>
  <c r="C229" i="1"/>
  <c r="M229" i="1" s="1"/>
  <c r="D229" i="1"/>
  <c r="E229" i="1"/>
  <c r="F229" i="1"/>
  <c r="H229" i="1"/>
  <c r="A230" i="1"/>
  <c r="B230" i="1"/>
  <c r="C230" i="1"/>
  <c r="M230" i="1" s="1"/>
  <c r="D230" i="1"/>
  <c r="E230" i="1"/>
  <c r="F230" i="1"/>
  <c r="H230" i="1"/>
  <c r="A231" i="1"/>
  <c r="B231" i="1"/>
  <c r="C231" i="1"/>
  <c r="M231" i="1" s="1"/>
  <c r="D231" i="1"/>
  <c r="E231" i="1"/>
  <c r="F231" i="1"/>
  <c r="H231" i="1"/>
  <c r="A232" i="1"/>
  <c r="B232" i="1"/>
  <c r="C232" i="1"/>
  <c r="M232" i="1" s="1"/>
  <c r="D232" i="1"/>
  <c r="E232" i="1"/>
  <c r="F232" i="1"/>
  <c r="H232" i="1"/>
  <c r="A233" i="1"/>
  <c r="B233" i="1"/>
  <c r="C233" i="1"/>
  <c r="M233" i="1" s="1"/>
  <c r="D233" i="1"/>
  <c r="E233" i="1"/>
  <c r="F233" i="1"/>
  <c r="H233" i="1"/>
  <c r="A234" i="1"/>
  <c r="B234" i="1"/>
  <c r="C234" i="1"/>
  <c r="M234" i="1" s="1"/>
  <c r="D234" i="1"/>
  <c r="E234" i="1"/>
  <c r="F234" i="1"/>
  <c r="H234" i="1"/>
  <c r="A235" i="1"/>
  <c r="B235" i="1"/>
  <c r="C235" i="1"/>
  <c r="M235" i="1" s="1"/>
  <c r="D235" i="1"/>
  <c r="E235" i="1"/>
  <c r="F235" i="1"/>
  <c r="H235" i="1"/>
  <c r="A236" i="1"/>
  <c r="B236" i="1"/>
  <c r="C236" i="1"/>
  <c r="M236" i="1" s="1"/>
  <c r="D236" i="1"/>
  <c r="E236" i="1"/>
  <c r="F236" i="1"/>
  <c r="H236" i="1"/>
  <c r="A237" i="1"/>
  <c r="B237" i="1"/>
  <c r="C237" i="1"/>
  <c r="M237" i="1" s="1"/>
  <c r="D237" i="1"/>
  <c r="E237" i="1"/>
  <c r="F237" i="1"/>
  <c r="H237" i="1"/>
  <c r="A238" i="1"/>
  <c r="B238" i="1"/>
  <c r="C238" i="1"/>
  <c r="M238" i="1" s="1"/>
  <c r="D238" i="1"/>
  <c r="E238" i="1"/>
  <c r="F238" i="1"/>
  <c r="H238" i="1"/>
  <c r="A239" i="1"/>
  <c r="B239" i="1"/>
  <c r="C239" i="1"/>
  <c r="M239" i="1" s="1"/>
  <c r="D239" i="1"/>
  <c r="E239" i="1"/>
  <c r="F239" i="1"/>
  <c r="H239" i="1"/>
  <c r="A240" i="1"/>
  <c r="B240" i="1"/>
  <c r="C240" i="1"/>
  <c r="M240" i="1" s="1"/>
  <c r="D240" i="1"/>
  <c r="E240" i="1"/>
  <c r="F240" i="1"/>
  <c r="H240" i="1"/>
  <c r="A241" i="1"/>
  <c r="B241" i="1"/>
  <c r="C241" i="1"/>
  <c r="M241" i="1" s="1"/>
  <c r="D241" i="1"/>
  <c r="E241" i="1"/>
  <c r="F241" i="1"/>
  <c r="H241" i="1"/>
  <c r="A242" i="1"/>
  <c r="B242" i="1"/>
  <c r="C242" i="1"/>
  <c r="M242" i="1" s="1"/>
  <c r="D242" i="1"/>
  <c r="E242" i="1"/>
  <c r="F242" i="1"/>
  <c r="H242" i="1"/>
  <c r="A243" i="1"/>
  <c r="B243" i="1"/>
  <c r="C243" i="1"/>
  <c r="M243" i="1" s="1"/>
  <c r="D243" i="1"/>
  <c r="E243" i="1"/>
  <c r="F243" i="1"/>
  <c r="H243" i="1"/>
  <c r="A244" i="1"/>
  <c r="B244" i="1"/>
  <c r="C244" i="1"/>
  <c r="M244" i="1" s="1"/>
  <c r="D244" i="1"/>
  <c r="E244" i="1"/>
  <c r="F244" i="1"/>
  <c r="H244" i="1"/>
  <c r="A245" i="1"/>
  <c r="B245" i="1"/>
  <c r="C245" i="1"/>
  <c r="M245" i="1" s="1"/>
  <c r="D245" i="1"/>
  <c r="E245" i="1"/>
  <c r="F245" i="1"/>
  <c r="H245" i="1"/>
  <c r="A246" i="1"/>
  <c r="B246" i="1"/>
  <c r="C246" i="1"/>
  <c r="M246" i="1" s="1"/>
  <c r="D246" i="1"/>
  <c r="E246" i="1"/>
  <c r="F246" i="1"/>
  <c r="H246" i="1"/>
  <c r="A247" i="1"/>
  <c r="B247" i="1"/>
  <c r="C247" i="1"/>
  <c r="M247" i="1" s="1"/>
  <c r="D247" i="1"/>
  <c r="E247" i="1"/>
  <c r="F247" i="1"/>
  <c r="H247" i="1"/>
  <c r="A248" i="1"/>
  <c r="B248" i="1"/>
  <c r="C248" i="1"/>
  <c r="M248" i="1" s="1"/>
  <c r="D248" i="1"/>
  <c r="E248" i="1"/>
  <c r="F248" i="1"/>
  <c r="H248" i="1"/>
  <c r="A249" i="1"/>
  <c r="B249" i="1"/>
  <c r="C249" i="1"/>
  <c r="M249" i="1" s="1"/>
  <c r="D249" i="1"/>
  <c r="E249" i="1"/>
  <c r="F249" i="1"/>
  <c r="H249" i="1"/>
  <c r="A250" i="1"/>
  <c r="B250" i="1"/>
  <c r="C250" i="1"/>
  <c r="M250" i="1" s="1"/>
  <c r="D250" i="1"/>
  <c r="E250" i="1"/>
  <c r="F250" i="1"/>
  <c r="H250" i="1"/>
  <c r="A251" i="1"/>
  <c r="B251" i="1"/>
  <c r="C251" i="1"/>
  <c r="M251" i="1" s="1"/>
  <c r="D251" i="1"/>
  <c r="E251" i="1"/>
  <c r="F251" i="1"/>
  <c r="H251" i="1"/>
  <c r="A252" i="1"/>
  <c r="B252" i="1"/>
  <c r="C252" i="1"/>
  <c r="M252" i="1" s="1"/>
  <c r="D252" i="1"/>
  <c r="E252" i="1"/>
  <c r="F252" i="1"/>
  <c r="H252" i="1"/>
  <c r="A253" i="1"/>
  <c r="B253" i="1"/>
  <c r="C253" i="1"/>
  <c r="M253" i="1" s="1"/>
  <c r="D253" i="1"/>
  <c r="E253" i="1"/>
  <c r="F253" i="1"/>
  <c r="H253" i="1"/>
  <c r="A254" i="1"/>
  <c r="B254" i="1"/>
  <c r="C254" i="1"/>
  <c r="M254" i="1" s="1"/>
  <c r="D254" i="1"/>
  <c r="E254" i="1"/>
  <c r="F254" i="1"/>
  <c r="H254" i="1"/>
  <c r="A255" i="1"/>
  <c r="B255" i="1"/>
  <c r="C255" i="1"/>
  <c r="M255" i="1" s="1"/>
  <c r="D255" i="1"/>
  <c r="E255" i="1"/>
  <c r="F255" i="1"/>
  <c r="H255" i="1"/>
  <c r="A256" i="1"/>
  <c r="B256" i="1"/>
  <c r="C256" i="1"/>
  <c r="M256" i="1" s="1"/>
  <c r="D256" i="1"/>
  <c r="E256" i="1"/>
  <c r="F256" i="1"/>
  <c r="H256" i="1"/>
  <c r="A257" i="1"/>
  <c r="B257" i="1"/>
  <c r="C257" i="1"/>
  <c r="M257" i="1" s="1"/>
  <c r="D257" i="1"/>
  <c r="E257" i="1"/>
  <c r="F257" i="1"/>
  <c r="H257" i="1"/>
  <c r="A258" i="1"/>
  <c r="B258" i="1"/>
  <c r="C258" i="1"/>
  <c r="M258" i="1" s="1"/>
  <c r="D258" i="1"/>
  <c r="E258" i="1"/>
  <c r="F258" i="1"/>
  <c r="H258" i="1"/>
  <c r="A259" i="1"/>
  <c r="B259" i="1"/>
  <c r="C259" i="1"/>
  <c r="D259" i="1"/>
  <c r="E259" i="1"/>
  <c r="F259" i="1"/>
  <c r="H259" i="1"/>
  <c r="M259" i="1"/>
  <c r="A260" i="1"/>
  <c r="B260" i="1"/>
  <c r="C260" i="1"/>
  <c r="M260" i="1" s="1"/>
  <c r="D260" i="1"/>
  <c r="E260" i="1"/>
  <c r="F260" i="1"/>
  <c r="H260" i="1"/>
  <c r="A261" i="1"/>
  <c r="B261" i="1"/>
  <c r="C261" i="1"/>
  <c r="M261" i="1" s="1"/>
  <c r="D261" i="1"/>
  <c r="E261" i="1"/>
  <c r="F261" i="1"/>
  <c r="H261" i="1"/>
  <c r="A262" i="1"/>
  <c r="B262" i="1"/>
  <c r="C262" i="1"/>
  <c r="M262" i="1" s="1"/>
  <c r="D262" i="1"/>
  <c r="E262" i="1"/>
  <c r="F262" i="1"/>
  <c r="H262" i="1"/>
  <c r="A263" i="1"/>
  <c r="B263" i="1"/>
  <c r="C263" i="1"/>
  <c r="M263" i="1" s="1"/>
  <c r="D263" i="1"/>
  <c r="E263" i="1"/>
  <c r="F263" i="1"/>
  <c r="H263" i="1"/>
  <c r="A264" i="1"/>
  <c r="B264" i="1"/>
  <c r="C264" i="1"/>
  <c r="M264" i="1" s="1"/>
  <c r="D264" i="1"/>
  <c r="E264" i="1"/>
  <c r="F264" i="1"/>
  <c r="H264" i="1"/>
  <c r="A265" i="1"/>
  <c r="B265" i="1"/>
  <c r="C265" i="1"/>
  <c r="M265" i="1" s="1"/>
  <c r="D265" i="1"/>
  <c r="E265" i="1"/>
  <c r="F265" i="1"/>
  <c r="H265" i="1"/>
  <c r="A266" i="1"/>
  <c r="B266" i="1"/>
  <c r="C266" i="1"/>
  <c r="M266" i="1" s="1"/>
  <c r="D266" i="1"/>
  <c r="E266" i="1"/>
  <c r="F266" i="1"/>
  <c r="H266" i="1"/>
  <c r="A267" i="1"/>
  <c r="B267" i="1"/>
  <c r="C267" i="1"/>
  <c r="M267" i="1" s="1"/>
  <c r="D267" i="1"/>
  <c r="E267" i="1"/>
  <c r="F267" i="1"/>
  <c r="H267" i="1"/>
  <c r="A268" i="1"/>
  <c r="B268" i="1"/>
  <c r="C268" i="1"/>
  <c r="M268" i="1" s="1"/>
  <c r="D268" i="1"/>
  <c r="E268" i="1"/>
  <c r="F268" i="1"/>
  <c r="H268" i="1"/>
  <c r="A269" i="1"/>
  <c r="B269" i="1"/>
  <c r="C269" i="1"/>
  <c r="M269" i="1" s="1"/>
  <c r="D269" i="1"/>
  <c r="E269" i="1"/>
  <c r="F269" i="1"/>
  <c r="H269" i="1"/>
  <c r="A270" i="1"/>
  <c r="B270" i="1"/>
  <c r="C270" i="1"/>
  <c r="M270" i="1" s="1"/>
  <c r="D270" i="1"/>
  <c r="E270" i="1"/>
  <c r="F270" i="1"/>
  <c r="H270" i="1"/>
  <c r="A271" i="1"/>
  <c r="B271" i="1"/>
  <c r="C271" i="1"/>
  <c r="M271" i="1" s="1"/>
  <c r="D271" i="1"/>
  <c r="E271" i="1"/>
  <c r="F271" i="1"/>
  <c r="H271" i="1"/>
  <c r="A272" i="1"/>
  <c r="B272" i="1"/>
  <c r="C272" i="1"/>
  <c r="M272" i="1" s="1"/>
  <c r="D272" i="1"/>
  <c r="E272" i="1"/>
  <c r="F272" i="1"/>
  <c r="H272" i="1"/>
  <c r="A273" i="1"/>
  <c r="B273" i="1"/>
  <c r="C273" i="1"/>
  <c r="M273" i="1" s="1"/>
  <c r="D273" i="1"/>
  <c r="E273" i="1"/>
  <c r="F273" i="1"/>
  <c r="H273" i="1"/>
  <c r="A274" i="1"/>
  <c r="B274" i="1"/>
  <c r="C274" i="1"/>
  <c r="M274" i="1" s="1"/>
  <c r="D274" i="1"/>
  <c r="E274" i="1"/>
  <c r="F274" i="1"/>
  <c r="H274" i="1"/>
  <c r="A275" i="1"/>
  <c r="B275" i="1"/>
  <c r="C275" i="1"/>
  <c r="M275" i="1" s="1"/>
  <c r="D275" i="1"/>
  <c r="E275" i="1"/>
  <c r="F275" i="1"/>
  <c r="H275" i="1"/>
  <c r="A276" i="1"/>
  <c r="B276" i="1"/>
  <c r="C276" i="1"/>
  <c r="D276" i="1"/>
  <c r="E276" i="1"/>
  <c r="F276" i="1"/>
  <c r="H276" i="1"/>
  <c r="M276" i="1"/>
  <c r="A277" i="1"/>
  <c r="B277" i="1"/>
  <c r="C277" i="1"/>
  <c r="M277" i="1" s="1"/>
  <c r="D277" i="1"/>
  <c r="E277" i="1"/>
  <c r="F277" i="1"/>
  <c r="H277" i="1"/>
  <c r="K6" i="3"/>
  <c r="X57" i="4"/>
  <c r="T57" i="4"/>
  <c r="S57" i="4"/>
  <c r="R57" i="4"/>
  <c r="Q57" i="4"/>
  <c r="P57" i="4"/>
  <c r="O57" i="4"/>
  <c r="N57" i="4"/>
  <c r="M57" i="4"/>
  <c r="L57" i="4"/>
  <c r="K57" i="4"/>
  <c r="J57" i="4"/>
  <c r="I57" i="4"/>
  <c r="AG56" i="4"/>
  <c r="AG57" i="4" s="1"/>
  <c r="AF56" i="4"/>
  <c r="AE56" i="4"/>
  <c r="AD56" i="4"/>
  <c r="AC56" i="4"/>
  <c r="AC57" i="4" s="1"/>
  <c r="AB56" i="4"/>
  <c r="AB57" i="4" s="1"/>
  <c r="AA56" i="4"/>
  <c r="Z56" i="4"/>
  <c r="Y56" i="4"/>
  <c r="Y57" i="4" s="1"/>
  <c r="X56" i="4"/>
  <c r="I268" i="1" s="1"/>
  <c r="W56" i="4"/>
  <c r="V56" i="4"/>
  <c r="I266" i="1" s="1"/>
  <c r="U56" i="4"/>
  <c r="T54" i="4"/>
  <c r="S54" i="4"/>
  <c r="R54" i="4"/>
  <c r="Q54" i="4"/>
  <c r="P54" i="4"/>
  <c r="O54" i="4"/>
  <c r="N54" i="4"/>
  <c r="M54" i="4"/>
  <c r="L54" i="4"/>
  <c r="K54" i="4"/>
  <c r="J54" i="4"/>
  <c r="I54" i="4"/>
  <c r="U53" i="4"/>
  <c r="G53" i="4"/>
  <c r="T51" i="4"/>
  <c r="S51" i="4"/>
  <c r="R51" i="4"/>
  <c r="Q51" i="4"/>
  <c r="P51" i="4"/>
  <c r="O51" i="4"/>
  <c r="N51" i="4"/>
  <c r="M51" i="4"/>
  <c r="L51" i="4"/>
  <c r="K51" i="4"/>
  <c r="J51" i="4"/>
  <c r="I51" i="4"/>
  <c r="U50" i="4"/>
  <c r="G50" i="4"/>
  <c r="AF50" i="4" s="1"/>
  <c r="I252" i="1" s="1"/>
  <c r="AG49" i="4"/>
  <c r="I241" i="1" s="1"/>
  <c r="AF49" i="4"/>
  <c r="I240" i="1" s="1"/>
  <c r="AE49" i="4"/>
  <c r="I239" i="1" s="1"/>
  <c r="AD49" i="4"/>
  <c r="AC49" i="4"/>
  <c r="AB49" i="4"/>
  <c r="AA49" i="4"/>
  <c r="Z49" i="4"/>
  <c r="Y49" i="4"/>
  <c r="I233" i="1" s="1"/>
  <c r="J233" i="1" s="1"/>
  <c r="K233" i="1" s="1"/>
  <c r="X49" i="4"/>
  <c r="I232" i="1" s="1"/>
  <c r="W49" i="4"/>
  <c r="I231" i="1" s="1"/>
  <c r="V49" i="4"/>
  <c r="U49" i="4"/>
  <c r="T42" i="4"/>
  <c r="S42" i="4"/>
  <c r="R42" i="4"/>
  <c r="Q42" i="4"/>
  <c r="P42" i="4"/>
  <c r="O42" i="4"/>
  <c r="N42" i="4"/>
  <c r="M42" i="4"/>
  <c r="L42" i="4"/>
  <c r="K42" i="4"/>
  <c r="J42" i="4"/>
  <c r="I42" i="4"/>
  <c r="U41" i="4"/>
  <c r="G41" i="4"/>
  <c r="V41" i="4" s="1"/>
  <c r="U40" i="4"/>
  <c r="G40" i="4"/>
  <c r="AG40" i="4" s="1"/>
  <c r="I217" i="1" s="1"/>
  <c r="J217" i="1" s="1"/>
  <c r="U39" i="4"/>
  <c r="G39" i="4"/>
  <c r="AG38" i="4"/>
  <c r="I193" i="1" s="1"/>
  <c r="AF38" i="4"/>
  <c r="I192" i="1" s="1"/>
  <c r="AE38" i="4"/>
  <c r="AD38" i="4"/>
  <c r="I190" i="1" s="1"/>
  <c r="AC38" i="4"/>
  <c r="I189" i="1" s="1"/>
  <c r="AB38" i="4"/>
  <c r="AA38" i="4"/>
  <c r="I187" i="1" s="1"/>
  <c r="Z38" i="4"/>
  <c r="I186" i="1" s="1"/>
  <c r="Y38" i="4"/>
  <c r="X38" i="4"/>
  <c r="I184" i="1" s="1"/>
  <c r="J184" i="1" s="1"/>
  <c r="L184" i="1" s="1"/>
  <c r="W38" i="4"/>
  <c r="I183" i="1" s="1"/>
  <c r="V38" i="4"/>
  <c r="U38" i="4"/>
  <c r="AG37" i="4"/>
  <c r="I181" i="1" s="1"/>
  <c r="AF37" i="4"/>
  <c r="I180" i="1" s="1"/>
  <c r="AE37" i="4"/>
  <c r="AD37" i="4"/>
  <c r="I178" i="1" s="1"/>
  <c r="AC37" i="4"/>
  <c r="I177" i="1" s="1"/>
  <c r="AB37" i="4"/>
  <c r="AA37" i="4"/>
  <c r="I175" i="1" s="1"/>
  <c r="Z37" i="4"/>
  <c r="I174" i="1" s="1"/>
  <c r="J174" i="1" s="1"/>
  <c r="Y37" i="4"/>
  <c r="I173" i="1" s="1"/>
  <c r="X37" i="4"/>
  <c r="I172" i="1" s="1"/>
  <c r="W37" i="4"/>
  <c r="I171" i="1" s="1"/>
  <c r="J171" i="1" s="1"/>
  <c r="V37" i="4"/>
  <c r="U37" i="4"/>
  <c r="AG36" i="4"/>
  <c r="I169" i="1" s="1"/>
  <c r="AF36" i="4"/>
  <c r="I168" i="1" s="1"/>
  <c r="AE36" i="4"/>
  <c r="AD36" i="4"/>
  <c r="I166" i="1" s="1"/>
  <c r="AC36" i="4"/>
  <c r="I165" i="1" s="1"/>
  <c r="AB36" i="4"/>
  <c r="AA36" i="4"/>
  <c r="I163" i="1" s="1"/>
  <c r="Z36" i="4"/>
  <c r="I162" i="1" s="1"/>
  <c r="J162" i="1" s="1"/>
  <c r="Y36" i="4"/>
  <c r="I161" i="1" s="1"/>
  <c r="X36" i="4"/>
  <c r="I160" i="1" s="1"/>
  <c r="J160" i="1" s="1"/>
  <c r="K160" i="1" s="1"/>
  <c r="W36" i="4"/>
  <c r="I159" i="1" s="1"/>
  <c r="V36" i="4"/>
  <c r="I158" i="1" s="1"/>
  <c r="U36" i="4"/>
  <c r="U35" i="4"/>
  <c r="G35" i="4"/>
  <c r="AG35" i="4" s="1"/>
  <c r="T33" i="4"/>
  <c r="S33" i="4"/>
  <c r="R33" i="4"/>
  <c r="Q33" i="4"/>
  <c r="P33" i="4"/>
  <c r="O33" i="4"/>
  <c r="N33" i="4"/>
  <c r="M33" i="4"/>
  <c r="L33" i="4"/>
  <c r="K33" i="4"/>
  <c r="J33" i="4"/>
  <c r="I33" i="4"/>
  <c r="AG32" i="4"/>
  <c r="I145" i="1" s="1"/>
  <c r="AF32" i="4"/>
  <c r="I144" i="1" s="1"/>
  <c r="AE32" i="4"/>
  <c r="AD32" i="4"/>
  <c r="I142" i="1" s="1"/>
  <c r="AC32" i="4"/>
  <c r="I141" i="1" s="1"/>
  <c r="AB32" i="4"/>
  <c r="AA32" i="4"/>
  <c r="I139" i="1" s="1"/>
  <c r="J139" i="1" s="1"/>
  <c r="Z32" i="4"/>
  <c r="I138" i="1" s="1"/>
  <c r="J138" i="1" s="1"/>
  <c r="Y32" i="4"/>
  <c r="X32" i="4"/>
  <c r="I136" i="1" s="1"/>
  <c r="W32" i="4"/>
  <c r="I135" i="1" s="1"/>
  <c r="V32" i="4"/>
  <c r="I134" i="1" s="1"/>
  <c r="U32" i="4"/>
  <c r="U31" i="4"/>
  <c r="G31" i="4"/>
  <c r="W31" i="4" s="1"/>
  <c r="I123" i="1" s="1"/>
  <c r="AG30" i="4"/>
  <c r="I121" i="1" s="1"/>
  <c r="AF30" i="4"/>
  <c r="I120" i="1" s="1"/>
  <c r="J120" i="1" s="1"/>
  <c r="AE30" i="4"/>
  <c r="AD30" i="4"/>
  <c r="AC30" i="4"/>
  <c r="I117" i="1" s="1"/>
  <c r="AB30" i="4"/>
  <c r="I116" i="1" s="1"/>
  <c r="AA30" i="4"/>
  <c r="I115" i="1" s="1"/>
  <c r="Z30" i="4"/>
  <c r="Y30" i="4"/>
  <c r="I113" i="1" s="1"/>
  <c r="J113" i="1" s="1"/>
  <c r="K113" i="1" s="1"/>
  <c r="X30" i="4"/>
  <c r="I112" i="1" s="1"/>
  <c r="W30" i="4"/>
  <c r="V30" i="4"/>
  <c r="U30" i="4"/>
  <c r="U29" i="4"/>
  <c r="G29" i="4"/>
  <c r="X29" i="4" s="1"/>
  <c r="I100" i="1" s="1"/>
  <c r="J100" i="1" s="1"/>
  <c r="U28" i="4"/>
  <c r="G28" i="4"/>
  <c r="U27" i="4"/>
  <c r="G27" i="4"/>
  <c r="T22" i="4"/>
  <c r="S22" i="4"/>
  <c r="R22" i="4"/>
  <c r="Q22" i="4"/>
  <c r="P22" i="4"/>
  <c r="O22" i="4"/>
  <c r="N22" i="4"/>
  <c r="M22" i="4"/>
  <c r="L22" i="4"/>
  <c r="K22" i="4"/>
  <c r="K23" i="4" s="1"/>
  <c r="J22" i="4"/>
  <c r="I22" i="4"/>
  <c r="AG21" i="4"/>
  <c r="I73" i="1" s="1"/>
  <c r="AF21" i="4"/>
  <c r="I72" i="1" s="1"/>
  <c r="J72" i="1" s="1"/>
  <c r="AE21" i="4"/>
  <c r="AD21" i="4"/>
  <c r="AC21" i="4"/>
  <c r="I69" i="1" s="1"/>
  <c r="AB21" i="4"/>
  <c r="AA21" i="4"/>
  <c r="I67" i="1" s="1"/>
  <c r="J67" i="1" s="1"/>
  <c r="Z21" i="4"/>
  <c r="I66" i="1" s="1"/>
  <c r="J66" i="1" s="1"/>
  <c r="Y21" i="4"/>
  <c r="X21" i="4"/>
  <c r="I64" i="1" s="1"/>
  <c r="W21" i="4"/>
  <c r="I63" i="1" s="1"/>
  <c r="V21" i="4"/>
  <c r="I62" i="1" s="1"/>
  <c r="U21" i="4"/>
  <c r="AG20" i="4"/>
  <c r="I61" i="1" s="1"/>
  <c r="AF20" i="4"/>
  <c r="I60" i="1" s="1"/>
  <c r="AE20" i="4"/>
  <c r="AD20" i="4"/>
  <c r="AC20" i="4"/>
  <c r="I57" i="1" s="1"/>
  <c r="AB20" i="4"/>
  <c r="AA20" i="4"/>
  <c r="Z20" i="4"/>
  <c r="I54" i="1" s="1"/>
  <c r="J54" i="1" s="1"/>
  <c r="Y20" i="4"/>
  <c r="I53" i="1" s="1"/>
  <c r="X20" i="4"/>
  <c r="I52" i="1" s="1"/>
  <c r="W20" i="4"/>
  <c r="I51" i="1" s="1"/>
  <c r="V20" i="4"/>
  <c r="U20" i="4"/>
  <c r="AG19" i="4"/>
  <c r="AF19" i="4"/>
  <c r="AE19" i="4"/>
  <c r="I47" i="1" s="1"/>
  <c r="AD19" i="4"/>
  <c r="I46" i="1" s="1"/>
  <c r="AC19" i="4"/>
  <c r="I45" i="1" s="1"/>
  <c r="AB19" i="4"/>
  <c r="I44" i="1" s="1"/>
  <c r="AA19" i="4"/>
  <c r="I43" i="1" s="1"/>
  <c r="J43" i="1" s="1"/>
  <c r="Z19" i="4"/>
  <c r="I42" i="1" s="1"/>
  <c r="Y19" i="4"/>
  <c r="I41" i="1" s="1"/>
  <c r="J41" i="1" s="1"/>
  <c r="X19" i="4"/>
  <c r="W19" i="4"/>
  <c r="V19" i="4"/>
  <c r="U19" i="4"/>
  <c r="T17" i="4"/>
  <c r="S17" i="4"/>
  <c r="R17" i="4"/>
  <c r="Q17" i="4"/>
  <c r="P17" i="4"/>
  <c r="O17" i="4"/>
  <c r="N17" i="4"/>
  <c r="M17" i="4"/>
  <c r="L17" i="4"/>
  <c r="K17" i="4"/>
  <c r="J17" i="4"/>
  <c r="I17" i="4"/>
  <c r="AG16" i="4"/>
  <c r="AF16" i="4"/>
  <c r="I36" i="1" s="1"/>
  <c r="AE16" i="4"/>
  <c r="I35" i="1" s="1"/>
  <c r="AD16" i="4"/>
  <c r="I34" i="1" s="1"/>
  <c r="AC16" i="4"/>
  <c r="I33" i="1" s="1"/>
  <c r="J33" i="1" s="1"/>
  <c r="AB16" i="4"/>
  <c r="AA16" i="4"/>
  <c r="I31" i="1" s="1"/>
  <c r="Z16" i="4"/>
  <c r="I30" i="1" s="1"/>
  <c r="Y16" i="4"/>
  <c r="X16" i="4"/>
  <c r="I28" i="1" s="1"/>
  <c r="W16" i="4"/>
  <c r="I27" i="1" s="1"/>
  <c r="V16" i="4"/>
  <c r="U16" i="4"/>
  <c r="AG15" i="4"/>
  <c r="I25" i="1" s="1"/>
  <c r="AF15" i="4"/>
  <c r="I24" i="1" s="1"/>
  <c r="AE15" i="4"/>
  <c r="I23" i="1" s="1"/>
  <c r="J23" i="1" s="1"/>
  <c r="K23" i="1" s="1"/>
  <c r="AD15" i="4"/>
  <c r="I22" i="1" s="1"/>
  <c r="AC15" i="4"/>
  <c r="I21" i="1" s="1"/>
  <c r="J21" i="1" s="1"/>
  <c r="AB15" i="4"/>
  <c r="AA15" i="4"/>
  <c r="I19" i="1" s="1"/>
  <c r="Z15" i="4"/>
  <c r="I18" i="1" s="1"/>
  <c r="Y15" i="4"/>
  <c r="X15" i="4"/>
  <c r="I16" i="1" s="1"/>
  <c r="W15" i="4"/>
  <c r="I15" i="1" s="1"/>
  <c r="V15" i="4"/>
  <c r="U15" i="4"/>
  <c r="AG14" i="4"/>
  <c r="I13" i="1" s="1"/>
  <c r="J13" i="1" s="1"/>
  <c r="AF14" i="4"/>
  <c r="AE14" i="4"/>
  <c r="AD14" i="4"/>
  <c r="AC14" i="4"/>
  <c r="AB14" i="4"/>
  <c r="AA14" i="4"/>
  <c r="Z14" i="4"/>
  <c r="Y14" i="4"/>
  <c r="X14" i="4"/>
  <c r="W14" i="4"/>
  <c r="I3" i="1" s="1"/>
  <c r="J3" i="1" s="1"/>
  <c r="V14" i="4"/>
  <c r="I2" i="1" s="1"/>
  <c r="U14" i="4"/>
  <c r="J31" i="1" l="1"/>
  <c r="L31" i="1" s="1"/>
  <c r="J64" i="1"/>
  <c r="J117" i="1"/>
  <c r="K117" i="1" s="1"/>
  <c r="J159" i="1"/>
  <c r="K159" i="1" s="1"/>
  <c r="O65" i="2"/>
  <c r="J141" i="1"/>
  <c r="K141" i="1" s="1"/>
  <c r="J44" i="1"/>
  <c r="J183" i="1"/>
  <c r="J36" i="1"/>
  <c r="J239" i="1"/>
  <c r="K239" i="1" s="1"/>
  <c r="AF41" i="4"/>
  <c r="I228" i="1" s="1"/>
  <c r="J228" i="1" s="1"/>
  <c r="J161" i="1"/>
  <c r="K161" i="1" s="1"/>
  <c r="J34" i="1"/>
  <c r="J47" i="1"/>
  <c r="K47" i="1" s="1"/>
  <c r="J173" i="1"/>
  <c r="J24" i="1"/>
  <c r="J46" i="1"/>
  <c r="K46" i="1" s="1"/>
  <c r="J69" i="1"/>
  <c r="J186" i="1"/>
  <c r="J190" i="1"/>
  <c r="K190" i="1" s="1"/>
  <c r="J57" i="1"/>
  <c r="L57" i="1" s="1"/>
  <c r="J231" i="1"/>
  <c r="K231" i="1" s="1"/>
  <c r="J22" i="1"/>
  <c r="K22" i="1" s="1"/>
  <c r="J45" i="1"/>
  <c r="K45" i="1" s="1"/>
  <c r="J35" i="1"/>
  <c r="L35" i="1" s="1"/>
  <c r="J163" i="1"/>
  <c r="K163" i="1" s="1"/>
  <c r="J266" i="1"/>
  <c r="L266" i="1" s="1"/>
  <c r="J25" i="1"/>
  <c r="K25" i="1" s="1"/>
  <c r="AM19" i="4"/>
  <c r="AQ19" i="4" s="1"/>
  <c r="J187" i="1"/>
  <c r="K187" i="1" s="1"/>
  <c r="J60" i="1"/>
  <c r="K60" i="1" s="1"/>
  <c r="AE41" i="4"/>
  <c r="AM20" i="4"/>
  <c r="AQ20" i="4" s="1"/>
  <c r="CQ9" i="2"/>
  <c r="AG41" i="4"/>
  <c r="I229" i="1" s="1"/>
  <c r="J169" i="1"/>
  <c r="L169" i="1" s="1"/>
  <c r="J63" i="1"/>
  <c r="L63" i="1" s="1"/>
  <c r="J158" i="1"/>
  <c r="K158" i="1" s="1"/>
  <c r="J181" i="1"/>
  <c r="L181" i="1" s="1"/>
  <c r="J192" i="1"/>
  <c r="K192" i="1" s="1"/>
  <c r="J252" i="1"/>
  <c r="L33" i="1"/>
  <c r="K33" i="1"/>
  <c r="L34" i="1"/>
  <c r="K34" i="1"/>
  <c r="L67" i="1"/>
  <c r="K67" i="1"/>
  <c r="K162" i="1"/>
  <c r="L162" i="1"/>
  <c r="CS9" i="2"/>
  <c r="L117" i="1"/>
  <c r="AN19" i="4"/>
  <c r="AR19" i="4" s="1"/>
  <c r="L239" i="1"/>
  <c r="I270" i="1"/>
  <c r="J270" i="1" s="1"/>
  <c r="L270" i="1" s="1"/>
  <c r="Z57" i="4"/>
  <c r="N23" i="4"/>
  <c r="N43" i="4" s="1"/>
  <c r="K138" i="1"/>
  <c r="L138" i="1"/>
  <c r="CO8" i="2"/>
  <c r="L25" i="1"/>
  <c r="R53" i="3"/>
  <c r="D17" i="3" s="1"/>
  <c r="R37" i="3"/>
  <c r="R36" i="3"/>
  <c r="R38" i="3"/>
  <c r="R43" i="3"/>
  <c r="R44" i="3"/>
  <c r="R51" i="3"/>
  <c r="J229" i="1"/>
  <c r="L229" i="1" s="1"/>
  <c r="J240" i="1"/>
  <c r="L240" i="1" s="1"/>
  <c r="AA57" i="4"/>
  <c r="I271" i="1"/>
  <c r="J271" i="1" s="1"/>
  <c r="J180" i="1"/>
  <c r="L180" i="1" s="1"/>
  <c r="CQ16" i="2"/>
  <c r="J42" i="1"/>
  <c r="K42" i="1" s="1"/>
  <c r="J53" i="1"/>
  <c r="K53" i="1" s="1"/>
  <c r="AL37" i="4"/>
  <c r="AP37" i="4" s="1"/>
  <c r="I170" i="1"/>
  <c r="J170" i="1" s="1"/>
  <c r="L170" i="1" s="1"/>
  <c r="J193" i="1"/>
  <c r="K193" i="1" s="1"/>
  <c r="AM21" i="4"/>
  <c r="AQ21" i="4" s="1"/>
  <c r="I65" i="1"/>
  <c r="J65" i="1" s="1"/>
  <c r="K65" i="1" s="1"/>
  <c r="AN30" i="4"/>
  <c r="AR30" i="4" s="1"/>
  <c r="J172" i="1"/>
  <c r="K172" i="1" s="1"/>
  <c r="CO6" i="2"/>
  <c r="J121" i="1"/>
  <c r="L121" i="1" s="1"/>
  <c r="J142" i="1"/>
  <c r="K142" i="1" s="1"/>
  <c r="J123" i="1"/>
  <c r="L123" i="1" s="1"/>
  <c r="J144" i="1"/>
  <c r="Z40" i="4"/>
  <c r="I210" i="1" s="1"/>
  <c r="J210" i="1" s="1"/>
  <c r="K210" i="1" s="1"/>
  <c r="CO12" i="2"/>
  <c r="J16" i="1"/>
  <c r="K16" i="1" s="1"/>
  <c r="J112" i="1"/>
  <c r="K112" i="1" s="1"/>
  <c r="AB40" i="4"/>
  <c r="U54" i="4"/>
  <c r="J166" i="1"/>
  <c r="K166" i="1" s="1"/>
  <c r="J18" i="1"/>
  <c r="K18" i="1" s="1"/>
  <c r="L23" i="4"/>
  <c r="L43" i="4" s="1"/>
  <c r="L44" i="4" s="1"/>
  <c r="J51" i="1"/>
  <c r="J62" i="1"/>
  <c r="Y22" i="4"/>
  <c r="J135" i="1"/>
  <c r="L135" i="1" s="1"/>
  <c r="J189" i="1"/>
  <c r="K189" i="1" s="1"/>
  <c r="CO9" i="2"/>
  <c r="J27" i="1"/>
  <c r="J145" i="1"/>
  <c r="J134" i="1"/>
  <c r="L134" i="1" s="1"/>
  <c r="AF40" i="4"/>
  <c r="I216" i="1" s="1"/>
  <c r="J216" i="1" s="1"/>
  <c r="K216" i="1" s="1"/>
  <c r="CM6" i="2"/>
  <c r="CI6" i="2" s="1"/>
  <c r="BY28" i="2"/>
  <c r="J19" i="1"/>
  <c r="K19" i="1" s="1"/>
  <c r="J30" i="1"/>
  <c r="L30" i="1" s="1"/>
  <c r="M23" i="4"/>
  <c r="M24" i="4" s="1"/>
  <c r="J52" i="1"/>
  <c r="K52" i="1" s="1"/>
  <c r="J115" i="1"/>
  <c r="L115" i="1" s="1"/>
  <c r="J136" i="1"/>
  <c r="K136" i="1" s="1"/>
  <c r="J268" i="1"/>
  <c r="CQ13" i="2"/>
  <c r="DC11" i="2"/>
  <c r="L183" i="1"/>
  <c r="K183" i="1"/>
  <c r="L24" i="4"/>
  <c r="L51" i="1"/>
  <c r="K51" i="1"/>
  <c r="K24" i="4"/>
  <c r="K43" i="4"/>
  <c r="K58" i="4" s="1"/>
  <c r="K24" i="1"/>
  <c r="L24" i="1"/>
  <c r="X27" i="4"/>
  <c r="I76" i="1" s="1"/>
  <c r="J76" i="1" s="1"/>
  <c r="K76" i="1" s="1"/>
  <c r="AD27" i="4"/>
  <c r="I82" i="1" s="1"/>
  <c r="J82" i="1" s="1"/>
  <c r="AC27" i="4"/>
  <c r="I81" i="1" s="1"/>
  <c r="AB27" i="4"/>
  <c r="I80" i="1" s="1"/>
  <c r="J80" i="1" s="1"/>
  <c r="K80" i="1" s="1"/>
  <c r="AA27" i="4"/>
  <c r="I79" i="1" s="1"/>
  <c r="J79" i="1" s="1"/>
  <c r="K79" i="1" s="1"/>
  <c r="Z27" i="4"/>
  <c r="I78" i="1" s="1"/>
  <c r="J78" i="1" s="1"/>
  <c r="K78" i="1" s="1"/>
  <c r="Y27" i="4"/>
  <c r="W27" i="4"/>
  <c r="I75" i="1" s="1"/>
  <c r="J75" i="1" s="1"/>
  <c r="K75" i="1" s="1"/>
  <c r="V27" i="4"/>
  <c r="K41" i="1"/>
  <c r="L41" i="1"/>
  <c r="CQ10" i="2"/>
  <c r="CS17" i="2"/>
  <c r="CQ17" i="2"/>
  <c r="CM17" i="2"/>
  <c r="CI17" i="2" s="1"/>
  <c r="CO17" i="2"/>
  <c r="BY24" i="2"/>
  <c r="C8" i="7"/>
  <c r="CS7" i="2"/>
  <c r="CQ7" i="2"/>
  <c r="P64" i="2"/>
  <c r="I191" i="1"/>
  <c r="J191" i="1" s="1"/>
  <c r="K191" i="1" s="1"/>
  <c r="AO38" i="4"/>
  <c r="AS38" i="4" s="1"/>
  <c r="K266" i="1"/>
  <c r="O66" i="2"/>
  <c r="Z39" i="4"/>
  <c r="I198" i="1" s="1"/>
  <c r="J198" i="1" s="1"/>
  <c r="K198" i="1" s="1"/>
  <c r="Y39" i="4"/>
  <c r="I197" i="1" s="1"/>
  <c r="J197" i="1" s="1"/>
  <c r="X39" i="4"/>
  <c r="I196" i="1" s="1"/>
  <c r="J196" i="1" s="1"/>
  <c r="L196" i="1" s="1"/>
  <c r="W39" i="4"/>
  <c r="I195" i="1" s="1"/>
  <c r="J195" i="1" s="1"/>
  <c r="K195" i="1" s="1"/>
  <c r="AG39" i="4"/>
  <c r="I205" i="1" s="1"/>
  <c r="J205" i="1" s="1"/>
  <c r="AB39" i="4"/>
  <c r="I200" i="1" s="1"/>
  <c r="J200" i="1" s="1"/>
  <c r="K200" i="1" s="1"/>
  <c r="CS13" i="2"/>
  <c r="AL49" i="4"/>
  <c r="AP49" i="4" s="1"/>
  <c r="I230" i="1"/>
  <c r="J230" i="1" s="1"/>
  <c r="K230" i="1" s="1"/>
  <c r="L158" i="1"/>
  <c r="L45" i="1"/>
  <c r="L23" i="1"/>
  <c r="AL21" i="4"/>
  <c r="AP21" i="4" s="1"/>
  <c r="CO11" i="2"/>
  <c r="AB17" i="4"/>
  <c r="I8" i="1"/>
  <c r="Z22" i="4"/>
  <c r="J232" i="1"/>
  <c r="K232" i="1" s="1"/>
  <c r="AD50" i="4"/>
  <c r="I250" i="1" s="1"/>
  <c r="J250" i="1" s="1"/>
  <c r="I272" i="1"/>
  <c r="J272" i="1" s="1"/>
  <c r="L272" i="1" s="1"/>
  <c r="CS15" i="2"/>
  <c r="AC17" i="4"/>
  <c r="I9" i="1"/>
  <c r="J9" i="1" s="1"/>
  <c r="AN15" i="4"/>
  <c r="AR15" i="4" s="1"/>
  <c r="I20" i="1"/>
  <c r="J20" i="1" s="1"/>
  <c r="K20" i="1" s="1"/>
  <c r="L64" i="1"/>
  <c r="K64" i="1"/>
  <c r="AD57" i="4"/>
  <c r="I274" i="1"/>
  <c r="J274" i="1" s="1"/>
  <c r="L274" i="1" s="1"/>
  <c r="I118" i="1"/>
  <c r="J118" i="1" s="1"/>
  <c r="L118" i="1" s="1"/>
  <c r="CS8" i="2"/>
  <c r="L160" i="1"/>
  <c r="L65" i="1"/>
  <c r="I31" i="7"/>
  <c r="K139" i="1"/>
  <c r="L139" i="1"/>
  <c r="CM14" i="2"/>
  <c r="CI14" i="2" s="1"/>
  <c r="L47" i="1"/>
  <c r="O67" i="2"/>
  <c r="AO30" i="4"/>
  <c r="AS30" i="4" s="1"/>
  <c r="I119" i="1"/>
  <c r="J119" i="1" s="1"/>
  <c r="AL38" i="4"/>
  <c r="AP38" i="4" s="1"/>
  <c r="I182" i="1"/>
  <c r="J182" i="1" s="1"/>
  <c r="L182" i="1" s="1"/>
  <c r="L113" i="1"/>
  <c r="O68" i="2"/>
  <c r="AH30" i="4"/>
  <c r="AJ30" i="4" s="1"/>
  <c r="AK30" i="4" s="1"/>
  <c r="I110" i="1"/>
  <c r="J110" i="1" s="1"/>
  <c r="L232" i="1"/>
  <c r="BY12" i="2"/>
  <c r="C15" i="7"/>
  <c r="L120" i="1"/>
  <c r="K120" i="1"/>
  <c r="V39" i="4"/>
  <c r="AB50" i="4"/>
  <c r="I248" i="1" s="1"/>
  <c r="J248" i="1" s="1"/>
  <c r="AA50" i="4"/>
  <c r="I247" i="1" s="1"/>
  <c r="J247" i="1" s="1"/>
  <c r="L247" i="1" s="1"/>
  <c r="Z50" i="4"/>
  <c r="I246" i="1" s="1"/>
  <c r="J246" i="1" s="1"/>
  <c r="K246" i="1" s="1"/>
  <c r="AM16" i="4"/>
  <c r="AQ16" i="4" s="1"/>
  <c r="I29" i="1"/>
  <c r="J29" i="1" s="1"/>
  <c r="L29" i="1" s="1"/>
  <c r="AO32" i="4"/>
  <c r="AS32" i="4" s="1"/>
  <c r="I143" i="1"/>
  <c r="J143" i="1" s="1"/>
  <c r="AD17" i="4"/>
  <c r="I10" i="1"/>
  <c r="J10" i="1" s="1"/>
  <c r="AN16" i="4"/>
  <c r="AR16" i="4" s="1"/>
  <c r="I32" i="1"/>
  <c r="J32" i="1" s="1"/>
  <c r="K43" i="1"/>
  <c r="L43" i="1"/>
  <c r="L159" i="1"/>
  <c r="L44" i="1"/>
  <c r="K44" i="1"/>
  <c r="J73" i="1"/>
  <c r="K73" i="1" s="1"/>
  <c r="K31" i="1"/>
  <c r="CS11" i="2"/>
  <c r="BY20" i="2"/>
  <c r="M2" i="1"/>
  <c r="L13" i="1"/>
  <c r="K13" i="1"/>
  <c r="J2" i="1"/>
  <c r="T23" i="4"/>
  <c r="T43" i="4" s="1"/>
  <c r="L46" i="1"/>
  <c r="CS14" i="2"/>
  <c r="CQ14" i="2"/>
  <c r="CO7" i="2"/>
  <c r="C11" i="7"/>
  <c r="O69" i="2"/>
  <c r="L66" i="1"/>
  <c r="K66" i="1"/>
  <c r="CQ12" i="2"/>
  <c r="CS6" i="2"/>
  <c r="CQ6" i="2"/>
  <c r="CP10" i="2"/>
  <c r="C9" i="7"/>
  <c r="L3" i="1"/>
  <c r="K3" i="1"/>
  <c r="AE35" i="4"/>
  <c r="AD35" i="4"/>
  <c r="I154" i="1" s="1"/>
  <c r="AC35" i="4"/>
  <c r="I153" i="1" s="1"/>
  <c r="J153" i="1" s="1"/>
  <c r="K35" i="1"/>
  <c r="CO15" i="2"/>
  <c r="CM15" i="2"/>
  <c r="CI15" i="2" s="1"/>
  <c r="CM11" i="2"/>
  <c r="CI11" i="2" s="1"/>
  <c r="CO10" i="2"/>
  <c r="CM10" i="2"/>
  <c r="CI10" i="2" s="1"/>
  <c r="C16" i="7"/>
  <c r="CS10" i="2"/>
  <c r="BY6" i="2"/>
  <c r="BY47" i="2" s="1"/>
  <c r="BY56" i="2" s="1"/>
  <c r="CO14" i="2"/>
  <c r="L233" i="1"/>
  <c r="O70" i="2"/>
  <c r="Q50" i="3"/>
  <c r="J15" i="1"/>
  <c r="W57" i="4"/>
  <c r="I267" i="1"/>
  <c r="J267" i="1" s="1"/>
  <c r="J23" i="4"/>
  <c r="J24" i="4" s="1"/>
  <c r="J61" i="1"/>
  <c r="L61" i="1" s="1"/>
  <c r="AF35" i="4"/>
  <c r="I156" i="1" s="1"/>
  <c r="J156" i="1" s="1"/>
  <c r="J178" i="1"/>
  <c r="L178" i="1" s="1"/>
  <c r="X40" i="4"/>
  <c r="I208" i="1" s="1"/>
  <c r="J208" i="1" s="1"/>
  <c r="K208" i="1" s="1"/>
  <c r="I277" i="1"/>
  <c r="J277" i="1" s="1"/>
  <c r="J116" i="1"/>
  <c r="L22" i="1"/>
  <c r="CM8" i="2"/>
  <c r="CI8" i="2" s="1"/>
  <c r="R31" i="3"/>
  <c r="R39" i="3"/>
  <c r="R40" i="3"/>
  <c r="R41" i="3"/>
  <c r="R42" i="3"/>
  <c r="J28" i="1"/>
  <c r="L28" i="1" s="1"/>
  <c r="J168" i="1"/>
  <c r="L168" i="1" s="1"/>
  <c r="AO37" i="4"/>
  <c r="AS37" i="4" s="1"/>
  <c r="I179" i="1"/>
  <c r="J179" i="1" s="1"/>
  <c r="J241" i="1"/>
  <c r="R52" i="3"/>
  <c r="D16" i="3" s="1"/>
  <c r="CO16" i="2"/>
  <c r="CM16" i="2"/>
  <c r="CI16" i="2" s="1"/>
  <c r="CS16" i="2"/>
  <c r="C14" i="7"/>
  <c r="BY8" i="2"/>
  <c r="CM12" i="2"/>
  <c r="CI12" i="2" s="1"/>
  <c r="CQ15" i="2"/>
  <c r="AA22" i="4"/>
  <c r="U33" i="4"/>
  <c r="L190" i="1"/>
  <c r="I55" i="1"/>
  <c r="J55" i="1" s="1"/>
  <c r="DA10" i="2"/>
  <c r="P72" i="2"/>
  <c r="U51" i="4"/>
  <c r="AF17" i="4"/>
  <c r="I12" i="1"/>
  <c r="AB22" i="4"/>
  <c r="I56" i="1"/>
  <c r="J175" i="1"/>
  <c r="L175" i="1" s="1"/>
  <c r="AM56" i="4"/>
  <c r="AQ56" i="4" s="1"/>
  <c r="CM9" i="2"/>
  <c r="CI9" i="2" s="1"/>
  <c r="CS12" i="2"/>
  <c r="DB10" i="2"/>
  <c r="AE17" i="4"/>
  <c r="I11" i="1"/>
  <c r="J11" i="1" s="1"/>
  <c r="O23" i="4"/>
  <c r="O43" i="4" s="1"/>
  <c r="AM32" i="4"/>
  <c r="AQ32" i="4" s="1"/>
  <c r="I137" i="1"/>
  <c r="J137" i="1" s="1"/>
  <c r="J165" i="1"/>
  <c r="L165" i="1" s="1"/>
  <c r="I269" i="1"/>
  <c r="J269" i="1" s="1"/>
  <c r="C10" i="7"/>
  <c r="O71" i="2"/>
  <c r="S23" i="4"/>
  <c r="S43" i="4" s="1"/>
  <c r="P23" i="4"/>
  <c r="P43" i="4" s="1"/>
  <c r="J177" i="1"/>
  <c r="L177" i="1" s="1"/>
  <c r="K57" i="1"/>
  <c r="CO13" i="2"/>
  <c r="CM13" i="2"/>
  <c r="CI13" i="2" s="1"/>
  <c r="CP13" i="2"/>
  <c r="C12" i="7"/>
  <c r="BY14" i="2"/>
  <c r="BY26" i="2"/>
  <c r="CM7" i="2"/>
  <c r="CI7" i="2" s="1"/>
  <c r="CQ8" i="2"/>
  <c r="CQ11" i="2"/>
  <c r="O61" i="2"/>
  <c r="O73" i="2"/>
  <c r="CN7" i="2"/>
  <c r="CJ7" i="2" s="1"/>
  <c r="DA11" i="2"/>
  <c r="O62" i="2"/>
  <c r="P74" i="2"/>
  <c r="C7" i="7"/>
  <c r="C31" i="7" s="1"/>
  <c r="C13" i="7"/>
  <c r="M32" i="7"/>
  <c r="O63" i="2"/>
  <c r="O75" i="2"/>
  <c r="U75" i="2"/>
  <c r="R75" i="2"/>
  <c r="Q75" i="2"/>
  <c r="P75" i="2"/>
  <c r="U74" i="2"/>
  <c r="Q74" i="2"/>
  <c r="R74" i="2"/>
  <c r="O74" i="2"/>
  <c r="U73" i="2"/>
  <c r="Q73" i="2"/>
  <c r="R73" i="2"/>
  <c r="P73" i="2"/>
  <c r="U72" i="2"/>
  <c r="Q72" i="2"/>
  <c r="R72" i="2"/>
  <c r="O72" i="2"/>
  <c r="U71" i="2"/>
  <c r="R71" i="2"/>
  <c r="Q71" i="2"/>
  <c r="P71" i="2"/>
  <c r="U70" i="2"/>
  <c r="R70" i="2"/>
  <c r="Q70" i="2"/>
  <c r="P70" i="2"/>
  <c r="U69" i="2"/>
  <c r="R69" i="2"/>
  <c r="Q69" i="2"/>
  <c r="P69" i="2"/>
  <c r="U68" i="2"/>
  <c r="R68" i="2"/>
  <c r="Q68" i="2"/>
  <c r="P68" i="2"/>
  <c r="U67" i="2"/>
  <c r="R67" i="2"/>
  <c r="Q67" i="2"/>
  <c r="P67" i="2"/>
  <c r="U66" i="2"/>
  <c r="Q66" i="2"/>
  <c r="R66" i="2"/>
  <c r="P66" i="2"/>
  <c r="U65" i="2"/>
  <c r="R65" i="2"/>
  <c r="P65" i="2"/>
  <c r="Q65" i="2"/>
  <c r="U64" i="2"/>
  <c r="R64" i="2"/>
  <c r="Q64" i="2"/>
  <c r="O64" i="2"/>
  <c r="U63" i="2"/>
  <c r="R63" i="2"/>
  <c r="Q63" i="2"/>
  <c r="P63" i="2"/>
  <c r="U62" i="2"/>
  <c r="R62" i="2"/>
  <c r="P62" i="2"/>
  <c r="Q62" i="2"/>
  <c r="U61" i="2"/>
  <c r="R61" i="2"/>
  <c r="Q61" i="2"/>
  <c r="P61" i="2"/>
  <c r="DA9" i="2"/>
  <c r="DC9" i="2" s="1"/>
  <c r="DB8" i="2"/>
  <c r="DC8" i="2" s="1"/>
  <c r="DB7" i="2"/>
  <c r="DC7" i="2" s="1"/>
  <c r="DB6" i="2"/>
  <c r="DC6" i="2" s="1"/>
  <c r="BY55" i="2"/>
  <c r="BY51" i="2"/>
  <c r="L174" i="1"/>
  <c r="K174" i="1"/>
  <c r="L217" i="1"/>
  <c r="K217" i="1"/>
  <c r="K123" i="1"/>
  <c r="AM38" i="4"/>
  <c r="AQ38" i="4" s="1"/>
  <c r="I185" i="1"/>
  <c r="J185" i="1" s="1"/>
  <c r="I218" i="1"/>
  <c r="J218" i="1" s="1"/>
  <c r="L100" i="1"/>
  <c r="K100" i="1"/>
  <c r="AN38" i="4"/>
  <c r="AR38" i="4" s="1"/>
  <c r="I188" i="1"/>
  <c r="J188" i="1" s="1"/>
  <c r="K228" i="1"/>
  <c r="L228" i="1"/>
  <c r="K21" i="1"/>
  <c r="L21" i="1"/>
  <c r="AN32" i="4"/>
  <c r="AR32" i="4" s="1"/>
  <c r="I140" i="1"/>
  <c r="J140" i="1" s="1"/>
  <c r="L163" i="1"/>
  <c r="I59" i="1"/>
  <c r="J59" i="1" s="1"/>
  <c r="AO20" i="4"/>
  <c r="AS20" i="4" s="1"/>
  <c r="AE22" i="4"/>
  <c r="P24" i="4"/>
  <c r="AL30" i="4"/>
  <c r="AP30" i="4" s="1"/>
  <c r="I111" i="1"/>
  <c r="J111" i="1" s="1"/>
  <c r="K27" i="1"/>
  <c r="L27" i="1"/>
  <c r="V22" i="4"/>
  <c r="AL19" i="4"/>
  <c r="AP19" i="4" s="1"/>
  <c r="I38" i="1"/>
  <c r="I70" i="1"/>
  <c r="J70" i="1" s="1"/>
  <c r="AD22" i="4"/>
  <c r="W22" i="4"/>
  <c r="I39" i="1"/>
  <c r="J39" i="1" s="1"/>
  <c r="K61" i="1"/>
  <c r="I71" i="1"/>
  <c r="J71" i="1" s="1"/>
  <c r="AO21" i="4"/>
  <c r="AS21" i="4" s="1"/>
  <c r="X31" i="4"/>
  <c r="I124" i="1" s="1"/>
  <c r="J124" i="1" s="1"/>
  <c r="Q49" i="3"/>
  <c r="K184" i="1"/>
  <c r="AD28" i="4"/>
  <c r="I94" i="1" s="1"/>
  <c r="J94" i="1" s="1"/>
  <c r="AE28" i="4"/>
  <c r="AC28" i="4"/>
  <c r="AB28" i="4"/>
  <c r="AG28" i="4"/>
  <c r="I97" i="1" s="1"/>
  <c r="J97" i="1" s="1"/>
  <c r="AF28" i="4"/>
  <c r="I96" i="1" s="1"/>
  <c r="J96" i="1" s="1"/>
  <c r="AA28" i="4"/>
  <c r="I91" i="1" s="1"/>
  <c r="J91" i="1" s="1"/>
  <c r="Z28" i="4"/>
  <c r="I90" i="1" s="1"/>
  <c r="J90" i="1" s="1"/>
  <c r="X28" i="4"/>
  <c r="I88" i="1" s="1"/>
  <c r="J88" i="1" s="1"/>
  <c r="Y28" i="4"/>
  <c r="W28" i="4"/>
  <c r="V28" i="4"/>
  <c r="AN36" i="4"/>
  <c r="AR36" i="4" s="1"/>
  <c r="I164" i="1"/>
  <c r="J164" i="1" s="1"/>
  <c r="K186" i="1"/>
  <c r="L186" i="1"/>
  <c r="K59" i="4"/>
  <c r="L216" i="1"/>
  <c r="K63" i="1"/>
  <c r="AN37" i="4"/>
  <c r="AR37" i="4" s="1"/>
  <c r="I176" i="1"/>
  <c r="J176" i="1" s="1"/>
  <c r="K36" i="1"/>
  <c r="L36" i="1"/>
  <c r="I49" i="1"/>
  <c r="J49" i="1" s="1"/>
  <c r="AG22" i="4"/>
  <c r="AH19" i="4"/>
  <c r="L54" i="1"/>
  <c r="K54" i="1"/>
  <c r="AO56" i="4"/>
  <c r="AS56" i="4" s="1"/>
  <c r="AE57" i="4"/>
  <c r="I275" i="1"/>
  <c r="J275" i="1" s="1"/>
  <c r="V31" i="4"/>
  <c r="AB31" i="4"/>
  <c r="AA31" i="4"/>
  <c r="I127" i="1" s="1"/>
  <c r="J127" i="1" s="1"/>
  <c r="Z31" i="4"/>
  <c r="I126" i="1" s="1"/>
  <c r="J126" i="1" s="1"/>
  <c r="Y31" i="4"/>
  <c r="AG31" i="4"/>
  <c r="I133" i="1" s="1"/>
  <c r="J133" i="1" s="1"/>
  <c r="AF31" i="4"/>
  <c r="I132" i="1" s="1"/>
  <c r="J132" i="1" s="1"/>
  <c r="AE31" i="4"/>
  <c r="AD31" i="4"/>
  <c r="I130" i="1" s="1"/>
  <c r="J130" i="1" s="1"/>
  <c r="AC31" i="4"/>
  <c r="I129" i="1" s="1"/>
  <c r="J129" i="1" s="1"/>
  <c r="AF57" i="4"/>
  <c r="I276" i="1"/>
  <c r="J276" i="1" s="1"/>
  <c r="K69" i="1"/>
  <c r="L69" i="1"/>
  <c r="I40" i="1"/>
  <c r="X22" i="4"/>
  <c r="AL20" i="4"/>
  <c r="AP20" i="4" s="1"/>
  <c r="I50" i="1"/>
  <c r="J50" i="1" s="1"/>
  <c r="AH20" i="4"/>
  <c r="K72" i="1"/>
  <c r="L72" i="1"/>
  <c r="I273" i="1"/>
  <c r="J273" i="1" s="1"/>
  <c r="I114" i="1"/>
  <c r="J114" i="1" s="1"/>
  <c r="AM30" i="4"/>
  <c r="AQ30" i="4" s="1"/>
  <c r="I234" i="1"/>
  <c r="J234" i="1" s="1"/>
  <c r="AM49" i="4"/>
  <c r="AQ49" i="4" s="1"/>
  <c r="K252" i="1"/>
  <c r="L252" i="1"/>
  <c r="I4" i="1"/>
  <c r="X17" i="4"/>
  <c r="AL14" i="4"/>
  <c r="AP14" i="4" s="1"/>
  <c r="Q31" i="3"/>
  <c r="I212" i="1"/>
  <c r="J212" i="1" s="1"/>
  <c r="K181" i="1"/>
  <c r="K173" i="1"/>
  <c r="L173" i="1"/>
  <c r="AO36" i="4"/>
  <c r="AS36" i="4" s="1"/>
  <c r="I167" i="1"/>
  <c r="J167" i="1" s="1"/>
  <c r="I157" i="1"/>
  <c r="J157" i="1" s="1"/>
  <c r="I235" i="1"/>
  <c r="J235" i="1" s="1"/>
  <c r="Q32" i="3"/>
  <c r="I14" i="1"/>
  <c r="AL15" i="4"/>
  <c r="AP15" i="4" s="1"/>
  <c r="AH15" i="4"/>
  <c r="R23" i="4"/>
  <c r="AA29" i="4"/>
  <c r="I103" i="1" s="1"/>
  <c r="J103" i="1" s="1"/>
  <c r="AF29" i="4"/>
  <c r="I108" i="1" s="1"/>
  <c r="J108" i="1" s="1"/>
  <c r="AD29" i="4"/>
  <c r="I106" i="1" s="1"/>
  <c r="J106" i="1" s="1"/>
  <c r="AC29" i="4"/>
  <c r="I105" i="1" s="1"/>
  <c r="J105" i="1" s="1"/>
  <c r="AB29" i="4"/>
  <c r="AG29" i="4"/>
  <c r="I109" i="1" s="1"/>
  <c r="J109" i="1" s="1"/>
  <c r="AE29" i="4"/>
  <c r="Y29" i="4"/>
  <c r="Z29" i="4"/>
  <c r="I102" i="1" s="1"/>
  <c r="J102" i="1" s="1"/>
  <c r="K171" i="1"/>
  <c r="L171" i="1"/>
  <c r="AG17" i="4"/>
  <c r="I37" i="1"/>
  <c r="J37" i="1" s="1"/>
  <c r="U42" i="4"/>
  <c r="I237" i="1"/>
  <c r="J237" i="1" s="1"/>
  <c r="AM14" i="4"/>
  <c r="AQ14" i="4" s="1"/>
  <c r="Y17" i="4"/>
  <c r="I5" i="1"/>
  <c r="J5" i="1" s="1"/>
  <c r="AL16" i="4"/>
  <c r="AP16" i="4" s="1"/>
  <c r="I26" i="1"/>
  <c r="J26" i="1" s="1"/>
  <c r="Q33" i="3"/>
  <c r="AH16" i="4"/>
  <c r="AC22" i="4"/>
  <c r="V29" i="4"/>
  <c r="I238" i="1"/>
  <c r="J238" i="1" s="1"/>
  <c r="I6" i="1"/>
  <c r="J6" i="1" s="1"/>
  <c r="Z17" i="4"/>
  <c r="AM15" i="4"/>
  <c r="AQ15" i="4" s="1"/>
  <c r="I17" i="1"/>
  <c r="J17" i="1" s="1"/>
  <c r="I23" i="4"/>
  <c r="U17" i="4"/>
  <c r="AU30" i="4" s="1"/>
  <c r="V17" i="4"/>
  <c r="W29" i="4"/>
  <c r="I99" i="1" s="1"/>
  <c r="J99" i="1" s="1"/>
  <c r="AB53" i="4"/>
  <c r="AA53" i="4"/>
  <c r="AD53" i="4"/>
  <c r="Z53" i="4"/>
  <c r="X53" i="4"/>
  <c r="W53" i="4"/>
  <c r="V53" i="4"/>
  <c r="AE53" i="4"/>
  <c r="AF53" i="4"/>
  <c r="AC53" i="4"/>
  <c r="AG53" i="4"/>
  <c r="I7" i="1"/>
  <c r="M31" i="7" s="1"/>
  <c r="AA17" i="4"/>
  <c r="W17" i="4"/>
  <c r="AF22" i="4"/>
  <c r="I48" i="1"/>
  <c r="AO19" i="4"/>
  <c r="AS19" i="4" s="1"/>
  <c r="AN20" i="4"/>
  <c r="AR20" i="4" s="1"/>
  <c r="I58" i="1"/>
  <c r="J58" i="1" s="1"/>
  <c r="I68" i="1"/>
  <c r="J68" i="1" s="1"/>
  <c r="AN21" i="4"/>
  <c r="AR21" i="4" s="1"/>
  <c r="Y53" i="4"/>
  <c r="AO16" i="4"/>
  <c r="AS16" i="4" s="1"/>
  <c r="AN49" i="4"/>
  <c r="AR49" i="4" s="1"/>
  <c r="I236" i="1"/>
  <c r="J236" i="1" s="1"/>
  <c r="Q53" i="3"/>
  <c r="C17" i="3" s="1"/>
  <c r="E17" i="3" s="1"/>
  <c r="F17" i="3" s="1"/>
  <c r="AH21" i="4"/>
  <c r="U57" i="4"/>
  <c r="Q38" i="3"/>
  <c r="AH37" i="4"/>
  <c r="AG50" i="4"/>
  <c r="I253" i="1" s="1"/>
  <c r="J253" i="1" s="1"/>
  <c r="AE50" i="4"/>
  <c r="AC50" i="4"/>
  <c r="I249" i="1" s="1"/>
  <c r="J249" i="1" s="1"/>
  <c r="W50" i="4"/>
  <c r="I243" i="1" s="1"/>
  <c r="J243" i="1" s="1"/>
  <c r="V50" i="4"/>
  <c r="AH38" i="4"/>
  <c r="W51" i="4"/>
  <c r="AO49" i="4"/>
  <c r="AS49" i="4" s="1"/>
  <c r="U22" i="4"/>
  <c r="X41" i="4"/>
  <c r="I220" i="1" s="1"/>
  <c r="J220" i="1" s="1"/>
  <c r="W41" i="4"/>
  <c r="I219" i="1" s="1"/>
  <c r="J219" i="1" s="1"/>
  <c r="AD41" i="4"/>
  <c r="I226" i="1" s="1"/>
  <c r="J226" i="1" s="1"/>
  <c r="AC41" i="4"/>
  <c r="I225" i="1" s="1"/>
  <c r="J225" i="1" s="1"/>
  <c r="AB41" i="4"/>
  <c r="AA35" i="4"/>
  <c r="W35" i="4"/>
  <c r="Y35" i="4"/>
  <c r="X35" i="4"/>
  <c r="V35" i="4"/>
  <c r="AA40" i="4"/>
  <c r="I211" i="1" s="1"/>
  <c r="J211" i="1" s="1"/>
  <c r="Y40" i="4"/>
  <c r="AE40" i="4"/>
  <c r="AD40" i="4"/>
  <c r="I214" i="1" s="1"/>
  <c r="J214" i="1" s="1"/>
  <c r="AC40" i="4"/>
  <c r="I213" i="1" s="1"/>
  <c r="J213" i="1" s="1"/>
  <c r="AH49" i="4"/>
  <c r="AL32" i="4"/>
  <c r="AP32" i="4" s="1"/>
  <c r="Z35" i="4"/>
  <c r="AD39" i="4"/>
  <c r="I202" i="1" s="1"/>
  <c r="J202" i="1" s="1"/>
  <c r="AA39" i="4"/>
  <c r="I199" i="1" s="1"/>
  <c r="J199" i="1" s="1"/>
  <c r="AF39" i="4"/>
  <c r="I204" i="1" s="1"/>
  <c r="J204" i="1" s="1"/>
  <c r="AE39" i="4"/>
  <c r="AC39" i="4"/>
  <c r="I201" i="1" s="1"/>
  <c r="J201" i="1" s="1"/>
  <c r="V40" i="4"/>
  <c r="Z41" i="4"/>
  <c r="I222" i="1" s="1"/>
  <c r="J222" i="1" s="1"/>
  <c r="X50" i="4"/>
  <c r="AN14" i="4"/>
  <c r="AR14" i="4" s="1"/>
  <c r="AF51" i="4"/>
  <c r="V57" i="4"/>
  <c r="AL56" i="4"/>
  <c r="AP56" i="4" s="1"/>
  <c r="AH56" i="4"/>
  <c r="Y41" i="4"/>
  <c r="AH32" i="4"/>
  <c r="AH14" i="4"/>
  <c r="AB35" i="4"/>
  <c r="AM36" i="4"/>
  <c r="AQ36" i="4" s="1"/>
  <c r="AM37" i="4"/>
  <c r="AQ37" i="4" s="1"/>
  <c r="W40" i="4"/>
  <c r="I207" i="1" s="1"/>
  <c r="J207" i="1" s="1"/>
  <c r="AA41" i="4"/>
  <c r="I223" i="1" s="1"/>
  <c r="J223" i="1" s="1"/>
  <c r="Y50" i="4"/>
  <c r="Y51" i="4" s="1"/>
  <c r="AO14" i="4"/>
  <c r="AS14" i="4" s="1"/>
  <c r="AO15" i="4"/>
  <c r="AS15" i="4" s="1"/>
  <c r="AE27" i="4"/>
  <c r="AH36" i="4"/>
  <c r="AN57" i="4"/>
  <c r="AR57" i="4" s="1"/>
  <c r="Q39" i="3"/>
  <c r="AF27" i="4"/>
  <c r="AL36" i="4"/>
  <c r="AP36" i="4" s="1"/>
  <c r="Q23" i="4"/>
  <c r="AG27" i="4"/>
  <c r="R50" i="3"/>
  <c r="R32" i="3"/>
  <c r="R49" i="3"/>
  <c r="R33" i="3"/>
  <c r="R45" i="3"/>
  <c r="Q34" i="3"/>
  <c r="R34" i="3"/>
  <c r="R46" i="3"/>
  <c r="Q35" i="3"/>
  <c r="Q47" i="3"/>
  <c r="R35" i="3"/>
  <c r="R47" i="3"/>
  <c r="Q36" i="3"/>
  <c r="S36" i="3" s="1"/>
  <c r="T36" i="3" s="1"/>
  <c r="AN56" i="4"/>
  <c r="AR56" i="4" s="1"/>
  <c r="L6" i="3"/>
  <c r="Q40" i="3"/>
  <c r="R48" i="3"/>
  <c r="K168" i="1" l="1"/>
  <c r="AF23" i="4"/>
  <c r="AM57" i="4"/>
  <c r="AQ57" i="4" s="1"/>
  <c r="K169" i="1"/>
  <c r="L141" i="1"/>
  <c r="AO41" i="4"/>
  <c r="AS41" i="4" s="1"/>
  <c r="AN27" i="4"/>
  <c r="AR27" i="4" s="1"/>
  <c r="CN10" i="2"/>
  <c r="CJ10" i="2" s="1"/>
  <c r="J32" i="7"/>
  <c r="AA51" i="4"/>
  <c r="AM51" i="4" s="1"/>
  <c r="AQ51" i="4" s="1"/>
  <c r="K165" i="1"/>
  <c r="L231" i="1"/>
  <c r="L18" i="1"/>
  <c r="K121" i="1"/>
  <c r="L161" i="1"/>
  <c r="N24" i="4"/>
  <c r="K170" i="1"/>
  <c r="L19" i="1"/>
  <c r="I227" i="1"/>
  <c r="J227" i="1" s="1"/>
  <c r="K196" i="1"/>
  <c r="L230" i="1"/>
  <c r="L53" i="1"/>
  <c r="L189" i="1"/>
  <c r="S39" i="3"/>
  <c r="T39" i="3" s="1"/>
  <c r="AB51" i="4"/>
  <c r="S24" i="4"/>
  <c r="L198" i="1"/>
  <c r="S40" i="3"/>
  <c r="T40" i="3" s="1"/>
  <c r="L187" i="1"/>
  <c r="AO35" i="4"/>
  <c r="AS35" i="4" s="1"/>
  <c r="K135" i="1"/>
  <c r="Q42" i="3"/>
  <c r="S42" i="3" s="1"/>
  <c r="T42" i="3" s="1"/>
  <c r="K177" i="1"/>
  <c r="L60" i="1"/>
  <c r="L210" i="1"/>
  <c r="AC23" i="4"/>
  <c r="AC24" i="4" s="1"/>
  <c r="Z51" i="4"/>
  <c r="L142" i="1"/>
  <c r="L52" i="1"/>
  <c r="L42" i="1"/>
  <c r="CN13" i="2"/>
  <c r="CJ13" i="2" s="1"/>
  <c r="AD23" i="4"/>
  <c r="S49" i="3"/>
  <c r="T49" i="3" s="1"/>
  <c r="O24" i="4"/>
  <c r="L192" i="1"/>
  <c r="L193" i="1"/>
  <c r="Q44" i="3"/>
  <c r="S44" i="3" s="1"/>
  <c r="T44" i="3" s="1"/>
  <c r="L271" i="1"/>
  <c r="K271" i="1"/>
  <c r="N44" i="4"/>
  <c r="N58" i="4"/>
  <c r="K240" i="1"/>
  <c r="AU56" i="4"/>
  <c r="K145" i="1"/>
  <c r="L145" i="1"/>
  <c r="L166" i="1"/>
  <c r="K60" i="4"/>
  <c r="K61" i="4" s="1"/>
  <c r="L268" i="1"/>
  <c r="K268" i="1"/>
  <c r="C10" i="3"/>
  <c r="D9" i="7"/>
  <c r="E9" i="7" s="1"/>
  <c r="F9" i="7" s="1"/>
  <c r="E32" i="7" s="1"/>
  <c r="K229" i="1"/>
  <c r="D13" i="3"/>
  <c r="L62" i="1"/>
  <c r="K62" i="1"/>
  <c r="K115" i="1"/>
  <c r="I32" i="7"/>
  <c r="M43" i="4"/>
  <c r="K180" i="1"/>
  <c r="AM22" i="4"/>
  <c r="AQ22" i="4" s="1"/>
  <c r="S47" i="3"/>
  <c r="T47" i="3" s="1"/>
  <c r="AA23" i="4"/>
  <c r="AA24" i="4" s="1"/>
  <c r="K30" i="1"/>
  <c r="K182" i="1"/>
  <c r="K175" i="1"/>
  <c r="L195" i="1"/>
  <c r="CN9" i="2"/>
  <c r="CJ9" i="2" s="1"/>
  <c r="Q41" i="3"/>
  <c r="S41" i="3" s="1"/>
  <c r="T41" i="3" s="1"/>
  <c r="K270" i="1"/>
  <c r="K134" i="1"/>
  <c r="AU50" i="4"/>
  <c r="S33" i="3"/>
  <c r="T33" i="3" s="1"/>
  <c r="L172" i="1"/>
  <c r="L112" i="1"/>
  <c r="AO17" i="4"/>
  <c r="AS17" i="4" s="1"/>
  <c r="L79" i="1"/>
  <c r="CN15" i="2"/>
  <c r="CJ15" i="2" s="1"/>
  <c r="CP9" i="2"/>
  <c r="L144" i="1"/>
  <c r="K144" i="1"/>
  <c r="L58" i="4"/>
  <c r="L59" i="4" s="1"/>
  <c r="L16" i="1"/>
  <c r="K274" i="1"/>
  <c r="L208" i="1"/>
  <c r="L20" i="1"/>
  <c r="K247" i="1"/>
  <c r="S35" i="3"/>
  <c r="T35" i="3" s="1"/>
  <c r="S38" i="3"/>
  <c r="T38" i="3" s="1"/>
  <c r="AU31" i="4"/>
  <c r="Q31" i="7"/>
  <c r="CP15" i="2"/>
  <c r="L136" i="1"/>
  <c r="J154" i="1"/>
  <c r="K154" i="1" s="1"/>
  <c r="CR14" i="2"/>
  <c r="J12" i="1"/>
  <c r="R31" i="7"/>
  <c r="AM27" i="4"/>
  <c r="AQ27" i="4" s="1"/>
  <c r="I77" i="1"/>
  <c r="K33" i="7" s="1"/>
  <c r="AU37" i="4"/>
  <c r="P34" i="7"/>
  <c r="L32" i="1"/>
  <c r="K32" i="1"/>
  <c r="R32" i="7"/>
  <c r="L250" i="1"/>
  <c r="K250" i="1"/>
  <c r="AN50" i="4"/>
  <c r="AR50" i="4" s="1"/>
  <c r="P33" i="7"/>
  <c r="J38" i="1"/>
  <c r="K38" i="1" s="1"/>
  <c r="CP6" i="2"/>
  <c r="AU21" i="4"/>
  <c r="V33" i="4"/>
  <c r="P31" i="7"/>
  <c r="CN17" i="2"/>
  <c r="CJ17" i="2" s="1"/>
  <c r="D6" i="3"/>
  <c r="BY5" i="2"/>
  <c r="J48" i="1"/>
  <c r="L48" i="1" s="1"/>
  <c r="CP16" i="2"/>
  <c r="P32" i="7"/>
  <c r="BY7" i="2"/>
  <c r="D9" i="3"/>
  <c r="AE42" i="4"/>
  <c r="I194" i="1"/>
  <c r="J194" i="1" s="1"/>
  <c r="L194" i="1" s="1"/>
  <c r="J14" i="1"/>
  <c r="K14" i="1" s="1"/>
  <c r="CN6" i="2"/>
  <c r="CJ6" i="2" s="1"/>
  <c r="H31" i="7"/>
  <c r="L110" i="1"/>
  <c r="K110" i="1"/>
  <c r="L191" i="1"/>
  <c r="L55" i="1"/>
  <c r="K55" i="1"/>
  <c r="L143" i="1"/>
  <c r="K143" i="1"/>
  <c r="BY10" i="2"/>
  <c r="S31" i="7"/>
  <c r="AN39" i="4"/>
  <c r="AR39" i="4" s="1"/>
  <c r="L116" i="1"/>
  <c r="K116" i="1"/>
  <c r="L179" i="1"/>
  <c r="K179" i="1"/>
  <c r="K10" i="1"/>
  <c r="L10" i="1"/>
  <c r="L75" i="1"/>
  <c r="K31" i="7"/>
  <c r="J81" i="1"/>
  <c r="AL39" i="4"/>
  <c r="AP39" i="4" s="1"/>
  <c r="L32" i="7"/>
  <c r="N32" i="7"/>
  <c r="C17" i="7"/>
  <c r="C33" i="7"/>
  <c r="K137" i="1"/>
  <c r="L137" i="1"/>
  <c r="CP7" i="2"/>
  <c r="L277" i="1"/>
  <c r="K277" i="1"/>
  <c r="D8" i="7"/>
  <c r="E8" i="7" s="1"/>
  <c r="F8" i="7" s="1"/>
  <c r="L2" i="1"/>
  <c r="K2" i="1"/>
  <c r="L76" i="1"/>
  <c r="CP17" i="2"/>
  <c r="W23" i="4"/>
  <c r="W24" i="4" s="1"/>
  <c r="AG42" i="4"/>
  <c r="T24" i="4"/>
  <c r="K178" i="1"/>
  <c r="K28" i="1"/>
  <c r="D16" i="7"/>
  <c r="E16" i="7" s="1"/>
  <c r="F16" i="7" s="1"/>
  <c r="S32" i="7"/>
  <c r="L246" i="1"/>
  <c r="C34" i="7"/>
  <c r="C23" i="7"/>
  <c r="L267" i="1"/>
  <c r="K267" i="1"/>
  <c r="L80" i="1"/>
  <c r="BY21" i="2"/>
  <c r="J43" i="4"/>
  <c r="J45" i="4" s="1"/>
  <c r="J46" i="4" s="1"/>
  <c r="AU19" i="4"/>
  <c r="O31" i="7"/>
  <c r="O32" i="7"/>
  <c r="L200" i="1"/>
  <c r="AN17" i="4"/>
  <c r="AR17" i="4" s="1"/>
  <c r="AB23" i="4"/>
  <c r="AB24" i="4" s="1"/>
  <c r="AN22" i="4"/>
  <c r="AR22" i="4" s="1"/>
  <c r="C22" i="7"/>
  <c r="C32" i="7"/>
  <c r="AU49" i="4"/>
  <c r="AU42" i="4"/>
  <c r="AU27" i="4"/>
  <c r="K29" i="1"/>
  <c r="N45" i="4"/>
  <c r="N46" i="4" s="1"/>
  <c r="K272" i="1"/>
  <c r="K118" i="1"/>
  <c r="Q32" i="7"/>
  <c r="J56" i="1"/>
  <c r="CP12" i="2"/>
  <c r="K15" i="1"/>
  <c r="L15" i="1"/>
  <c r="L78" i="1"/>
  <c r="L31" i="7"/>
  <c r="L73" i="1"/>
  <c r="BY9" i="2"/>
  <c r="CA8" i="2" s="1"/>
  <c r="AU16" i="4"/>
  <c r="L9" i="1"/>
  <c r="K9" i="1"/>
  <c r="L205" i="1"/>
  <c r="K205" i="1"/>
  <c r="AH39" i="4"/>
  <c r="AJ39" i="4" s="1"/>
  <c r="AK39" i="4" s="1"/>
  <c r="AU53" i="4"/>
  <c r="Z23" i="4"/>
  <c r="Z24" i="4" s="1"/>
  <c r="BY29" i="2"/>
  <c r="K45" i="4"/>
  <c r="K46" i="4" s="1"/>
  <c r="AO57" i="4"/>
  <c r="AS57" i="4" s="1"/>
  <c r="AU20" i="4"/>
  <c r="I155" i="1"/>
  <c r="J155" i="1" s="1"/>
  <c r="L155" i="1" s="1"/>
  <c r="K32" i="7"/>
  <c r="L269" i="1"/>
  <c r="K269" i="1"/>
  <c r="CN16" i="2"/>
  <c r="CJ16" i="2" s="1"/>
  <c r="CN12" i="2"/>
  <c r="CJ12" i="2" s="1"/>
  <c r="J8" i="1"/>
  <c r="L45" i="4"/>
  <c r="L46" i="4" s="1"/>
  <c r="K44" i="4"/>
  <c r="J4" i="1"/>
  <c r="L4" i="1" s="1"/>
  <c r="CN8" i="2"/>
  <c r="CJ8" i="2" s="1"/>
  <c r="D7" i="7"/>
  <c r="N31" i="7"/>
  <c r="CN14" i="2"/>
  <c r="CJ14" i="2" s="1"/>
  <c r="AU54" i="4"/>
  <c r="J7" i="1"/>
  <c r="K7" i="1" s="1"/>
  <c r="CN11" i="2"/>
  <c r="CJ11" i="2" s="1"/>
  <c r="AD51" i="4"/>
  <c r="AU33" i="4"/>
  <c r="J40" i="1"/>
  <c r="CP8" i="2"/>
  <c r="K11" i="1"/>
  <c r="L11" i="1"/>
  <c r="L241" i="1"/>
  <c r="K241" i="1"/>
  <c r="CP14" i="2"/>
  <c r="BY16" i="2"/>
  <c r="BY44" i="2" s="1"/>
  <c r="L119" i="1"/>
  <c r="K119" i="1"/>
  <c r="H32" i="7"/>
  <c r="J31" i="7"/>
  <c r="CP11" i="2"/>
  <c r="AL27" i="4"/>
  <c r="AP27" i="4" s="1"/>
  <c r="I74" i="1"/>
  <c r="S73" i="2"/>
  <c r="T73" i="2" s="1"/>
  <c r="S75" i="2"/>
  <c r="T75" i="2" s="1"/>
  <c r="S74" i="2"/>
  <c r="T74" i="2" s="1"/>
  <c r="S72" i="2"/>
  <c r="T72" i="2" s="1"/>
  <c r="S71" i="2"/>
  <c r="T71" i="2" s="1"/>
  <c r="S70" i="2"/>
  <c r="T70" i="2" s="1"/>
  <c r="S69" i="2"/>
  <c r="T69" i="2" s="1"/>
  <c r="S68" i="2"/>
  <c r="T68" i="2" s="1"/>
  <c r="S67" i="2"/>
  <c r="T67" i="2" s="1"/>
  <c r="S66" i="2"/>
  <c r="T66" i="2" s="1"/>
  <c r="S65" i="2"/>
  <c r="T65" i="2" s="1"/>
  <c r="S64" i="2"/>
  <c r="T64" i="2" s="1"/>
  <c r="S63" i="2"/>
  <c r="T63" i="2" s="1"/>
  <c r="S62" i="2"/>
  <c r="T62" i="2" s="1"/>
  <c r="S61" i="2"/>
  <c r="T61" i="2" s="1"/>
  <c r="BY62" i="2"/>
  <c r="S34" i="3"/>
  <c r="T34" i="3" s="1"/>
  <c r="D10" i="3"/>
  <c r="AJ49" i="4"/>
  <c r="AK49" i="4" s="1"/>
  <c r="L14" i="1"/>
  <c r="L50" i="1"/>
  <c r="K50" i="1"/>
  <c r="I131" i="1"/>
  <c r="J131" i="1" s="1"/>
  <c r="AO31" i="4"/>
  <c r="AS31" i="4" s="1"/>
  <c r="I93" i="1"/>
  <c r="J93" i="1" s="1"/>
  <c r="AC33" i="4"/>
  <c r="K111" i="1"/>
  <c r="L111" i="1"/>
  <c r="K140" i="1"/>
  <c r="L140" i="1"/>
  <c r="K153" i="1"/>
  <c r="L153" i="1"/>
  <c r="Q46" i="3"/>
  <c r="S46" i="3" s="1"/>
  <c r="T46" i="3" s="1"/>
  <c r="I84" i="1"/>
  <c r="AF33" i="4"/>
  <c r="S58" i="4"/>
  <c r="S44" i="4"/>
  <c r="S45" i="4"/>
  <c r="S46" i="4" s="1"/>
  <c r="L223" i="1"/>
  <c r="K223" i="1"/>
  <c r="L201" i="1"/>
  <c r="K201" i="1"/>
  <c r="Z54" i="4"/>
  <c r="I258" i="1"/>
  <c r="I107" i="1"/>
  <c r="J107" i="1" s="1"/>
  <c r="AO29" i="4"/>
  <c r="AS29" i="4" s="1"/>
  <c r="L212" i="1"/>
  <c r="K212" i="1"/>
  <c r="L133" i="1"/>
  <c r="K133" i="1"/>
  <c r="C9" i="3"/>
  <c r="L40" i="1"/>
  <c r="K40" i="1"/>
  <c r="L249" i="1"/>
  <c r="K249" i="1"/>
  <c r="AB54" i="4"/>
  <c r="AN53" i="4"/>
  <c r="AR53" i="4" s="1"/>
  <c r="I260" i="1"/>
  <c r="J260" i="1" s="1"/>
  <c r="AC51" i="4"/>
  <c r="AH57" i="4"/>
  <c r="AL57" i="4"/>
  <c r="AP57" i="4" s="1"/>
  <c r="I251" i="1"/>
  <c r="AO50" i="4"/>
  <c r="AS50" i="4" s="1"/>
  <c r="K106" i="1"/>
  <c r="L106" i="1"/>
  <c r="K4" i="1"/>
  <c r="L59" i="1"/>
  <c r="K59" i="1"/>
  <c r="AJ36" i="4"/>
  <c r="AK36" i="4" s="1"/>
  <c r="Z42" i="4"/>
  <c r="I150" i="1"/>
  <c r="L34" i="7" s="1"/>
  <c r="L253" i="1"/>
  <c r="K253" i="1"/>
  <c r="I265" i="1"/>
  <c r="J265" i="1" s="1"/>
  <c r="AG54" i="4"/>
  <c r="AE33" i="4"/>
  <c r="I83" i="1"/>
  <c r="Q34" i="7" s="1"/>
  <c r="AO27" i="4"/>
  <c r="AS27" i="4" s="1"/>
  <c r="AH27" i="4"/>
  <c r="AJ14" i="4"/>
  <c r="AK14" i="4" s="1"/>
  <c r="AM35" i="4"/>
  <c r="AQ35" i="4" s="1"/>
  <c r="Y42" i="4"/>
  <c r="I149" i="1"/>
  <c r="J149" i="1" s="1"/>
  <c r="AJ37" i="4"/>
  <c r="AK37" i="4" s="1"/>
  <c r="AC54" i="4"/>
  <c r="I261" i="1"/>
  <c r="J261" i="1" s="1"/>
  <c r="L103" i="1"/>
  <c r="K103" i="1"/>
  <c r="L276" i="1"/>
  <c r="K276" i="1"/>
  <c r="AJ19" i="4"/>
  <c r="AK19" i="4" s="1"/>
  <c r="K91" i="1"/>
  <c r="L91" i="1"/>
  <c r="S31" i="3"/>
  <c r="T31" i="3" s="1"/>
  <c r="AJ32" i="4"/>
  <c r="AK32" i="4" s="1"/>
  <c r="W42" i="4"/>
  <c r="I147" i="1"/>
  <c r="J147" i="1" s="1"/>
  <c r="AU22" i="4"/>
  <c r="I264" i="1"/>
  <c r="AF54" i="4"/>
  <c r="I24" i="4"/>
  <c r="U23" i="4"/>
  <c r="I43" i="4"/>
  <c r="AJ16" i="4"/>
  <c r="AK16" i="4" s="1"/>
  <c r="AG23" i="4"/>
  <c r="R43" i="4"/>
  <c r="R24" i="4"/>
  <c r="K197" i="1"/>
  <c r="L197" i="1"/>
  <c r="L96" i="1"/>
  <c r="K96" i="1"/>
  <c r="AL41" i="4"/>
  <c r="AP41" i="4" s="1"/>
  <c r="AM50" i="4"/>
  <c r="AQ50" i="4" s="1"/>
  <c r="I245" i="1"/>
  <c r="W54" i="4"/>
  <c r="I255" i="1"/>
  <c r="L102" i="1"/>
  <c r="K102" i="1"/>
  <c r="AL40" i="4"/>
  <c r="AP40" i="4" s="1"/>
  <c r="I206" i="1"/>
  <c r="J206" i="1" s="1"/>
  <c r="AH40" i="4"/>
  <c r="K213" i="1"/>
  <c r="L213" i="1"/>
  <c r="S53" i="3"/>
  <c r="T53" i="3" s="1"/>
  <c r="I256" i="1"/>
  <c r="J256" i="1" s="1"/>
  <c r="X54" i="4"/>
  <c r="K6" i="1"/>
  <c r="L6" i="1"/>
  <c r="L5" i="1"/>
  <c r="K5" i="1"/>
  <c r="AM29" i="4"/>
  <c r="AQ29" i="4" s="1"/>
  <c r="I101" i="1"/>
  <c r="J101" i="1" s="1"/>
  <c r="AN40" i="4"/>
  <c r="AR40" i="4" s="1"/>
  <c r="K49" i="1"/>
  <c r="L49" i="1"/>
  <c r="K164" i="1"/>
  <c r="L164" i="1"/>
  <c r="I95" i="1"/>
  <c r="J95" i="1" s="1"/>
  <c r="AO28" i="4"/>
  <c r="AS28" i="4" s="1"/>
  <c r="K71" i="1"/>
  <c r="L71" i="1"/>
  <c r="AC42" i="4"/>
  <c r="L235" i="1"/>
  <c r="K235" i="1"/>
  <c r="K248" i="1"/>
  <c r="L248" i="1"/>
  <c r="AD42" i="4"/>
  <c r="K94" i="1"/>
  <c r="L94" i="1"/>
  <c r="K185" i="1"/>
  <c r="L185" i="1"/>
  <c r="K207" i="1"/>
  <c r="L207" i="1"/>
  <c r="Q51" i="3"/>
  <c r="V51" i="4"/>
  <c r="AL50" i="4"/>
  <c r="AP50" i="4" s="1"/>
  <c r="AH50" i="4"/>
  <c r="I242" i="1"/>
  <c r="I125" i="1"/>
  <c r="J125" i="1" s="1"/>
  <c r="AM31" i="4"/>
  <c r="AQ31" i="4" s="1"/>
  <c r="AL28" i="4"/>
  <c r="AP28" i="4" s="1"/>
  <c r="AH28" i="4"/>
  <c r="I86" i="1"/>
  <c r="J86" i="1" s="1"/>
  <c r="Q45" i="3"/>
  <c r="P45" i="4"/>
  <c r="P46" i="4" s="1"/>
  <c r="P58" i="4"/>
  <c r="P44" i="4"/>
  <c r="L204" i="1"/>
  <c r="K204" i="1"/>
  <c r="AN41" i="4"/>
  <c r="AR41" i="4" s="1"/>
  <c r="I224" i="1"/>
  <c r="J224" i="1" s="1"/>
  <c r="K237" i="1"/>
  <c r="L237" i="1"/>
  <c r="Q48" i="3"/>
  <c r="S48" i="3" s="1"/>
  <c r="T48" i="3" s="1"/>
  <c r="K211" i="1"/>
  <c r="L211" i="1"/>
  <c r="K225" i="1"/>
  <c r="L225" i="1"/>
  <c r="K105" i="1"/>
  <c r="L105" i="1"/>
  <c r="X23" i="4"/>
  <c r="K127" i="1"/>
  <c r="L127" i="1"/>
  <c r="AM28" i="4"/>
  <c r="AQ28" i="4" s="1"/>
  <c r="I89" i="1"/>
  <c r="J89" i="1" s="1"/>
  <c r="S32" i="3"/>
  <c r="T32" i="3" s="1"/>
  <c r="L226" i="1"/>
  <c r="K226" i="1"/>
  <c r="L234" i="1"/>
  <c r="K234" i="1"/>
  <c r="I128" i="1"/>
  <c r="J128" i="1" s="1"/>
  <c r="AN31" i="4"/>
  <c r="AR31" i="4" s="1"/>
  <c r="AH41" i="4"/>
  <c r="S50" i="3"/>
  <c r="T50" i="3" s="1"/>
  <c r="D15" i="3"/>
  <c r="K219" i="1"/>
  <c r="L219" i="1"/>
  <c r="AG51" i="4"/>
  <c r="AL17" i="4"/>
  <c r="AP17" i="4" s="1"/>
  <c r="V23" i="4"/>
  <c r="AH17" i="4"/>
  <c r="AV49" i="4" s="1"/>
  <c r="AW49" i="4" s="1"/>
  <c r="L108" i="1"/>
  <c r="K108" i="1"/>
  <c r="T58" i="4"/>
  <c r="T44" i="4"/>
  <c r="T45" i="4"/>
  <c r="T46" i="4" s="1"/>
  <c r="AH31" i="4"/>
  <c r="AL31" i="4"/>
  <c r="AP31" i="4" s="1"/>
  <c r="I122" i="1"/>
  <c r="J122" i="1" s="1"/>
  <c r="K90" i="1"/>
  <c r="L90" i="1"/>
  <c r="L218" i="1"/>
  <c r="K218" i="1"/>
  <c r="D12" i="3"/>
  <c r="K220" i="1"/>
  <c r="L220" i="1"/>
  <c r="AU17" i="4"/>
  <c r="AU38" i="4"/>
  <c r="AU28" i="4"/>
  <c r="AU39" i="4"/>
  <c r="AU41" i="4"/>
  <c r="AU35" i="4"/>
  <c r="AU15" i="4"/>
  <c r="AU36" i="4"/>
  <c r="AU14" i="4"/>
  <c r="AU29" i="4"/>
  <c r="K37" i="1"/>
  <c r="L37" i="1"/>
  <c r="L156" i="1"/>
  <c r="K156" i="1"/>
  <c r="L273" i="1"/>
  <c r="K273" i="1"/>
  <c r="AM41" i="4"/>
  <c r="AQ41" i="4" s="1"/>
  <c r="I221" i="1"/>
  <c r="J221" i="1" s="1"/>
  <c r="AU40" i="4"/>
  <c r="I151" i="1"/>
  <c r="J151" i="1" s="1"/>
  <c r="AA42" i="4"/>
  <c r="AU57" i="4"/>
  <c r="AO53" i="4"/>
  <c r="AS53" i="4" s="1"/>
  <c r="AE54" i="4"/>
  <c r="I263" i="1"/>
  <c r="J263" i="1" s="1"/>
  <c r="L17" i="1"/>
  <c r="K17" i="1"/>
  <c r="AJ15" i="4"/>
  <c r="AK15" i="4" s="1"/>
  <c r="L114" i="1"/>
  <c r="K114" i="1"/>
  <c r="L129" i="1"/>
  <c r="K129" i="1"/>
  <c r="L275" i="1"/>
  <c r="K275" i="1"/>
  <c r="AM39" i="4"/>
  <c r="AQ39" i="4" s="1"/>
  <c r="K97" i="1"/>
  <c r="L97" i="1"/>
  <c r="N59" i="4"/>
  <c r="N60" i="4" s="1"/>
  <c r="N61" i="4" s="1"/>
  <c r="L222" i="1"/>
  <c r="K222" i="1"/>
  <c r="AF24" i="4"/>
  <c r="K132" i="1"/>
  <c r="L132" i="1"/>
  <c r="Y33" i="4"/>
  <c r="L214" i="1"/>
  <c r="K214" i="1"/>
  <c r="AJ38" i="4"/>
  <c r="AK38" i="4" s="1"/>
  <c r="AM17" i="4"/>
  <c r="AQ17" i="4" s="1"/>
  <c r="Y23" i="4"/>
  <c r="AD24" i="4"/>
  <c r="I203" i="1"/>
  <c r="J203" i="1" s="1"/>
  <c r="AO39" i="4"/>
  <c r="AS39" i="4" s="1"/>
  <c r="AO40" i="4"/>
  <c r="AS40" i="4" s="1"/>
  <c r="I215" i="1"/>
  <c r="J215" i="1" s="1"/>
  <c r="K236" i="1"/>
  <c r="L236" i="1"/>
  <c r="O44" i="4"/>
  <c r="O58" i="4"/>
  <c r="O45" i="4"/>
  <c r="O46" i="4" s="1"/>
  <c r="AD54" i="4"/>
  <c r="I262" i="1"/>
  <c r="K109" i="1"/>
  <c r="L109" i="1"/>
  <c r="AJ56" i="4"/>
  <c r="AK56" i="4" s="1"/>
  <c r="AM40" i="4"/>
  <c r="AQ40" i="4" s="1"/>
  <c r="I209" i="1"/>
  <c r="J209" i="1" s="1"/>
  <c r="L243" i="1"/>
  <c r="K243" i="1"/>
  <c r="AA54" i="4"/>
  <c r="I259" i="1"/>
  <c r="AN29" i="4"/>
  <c r="AR29" i="4" s="1"/>
  <c r="I104" i="1"/>
  <c r="J104" i="1" s="1"/>
  <c r="K157" i="1"/>
  <c r="L157" i="1"/>
  <c r="K126" i="1"/>
  <c r="L126" i="1"/>
  <c r="I87" i="1"/>
  <c r="J87" i="1" s="1"/>
  <c r="W33" i="4"/>
  <c r="AL22" i="4"/>
  <c r="AP22" i="4" s="1"/>
  <c r="AH22" i="4"/>
  <c r="AO22" i="4"/>
  <c r="AS22" i="4" s="1"/>
  <c r="AE23" i="4"/>
  <c r="K199" i="1"/>
  <c r="L199" i="1"/>
  <c r="L238" i="1"/>
  <c r="K238" i="1"/>
  <c r="L39" i="1"/>
  <c r="K39" i="1"/>
  <c r="AB42" i="4"/>
  <c r="AN35" i="4"/>
  <c r="AR35" i="4" s="1"/>
  <c r="I152" i="1"/>
  <c r="J152" i="1" s="1"/>
  <c r="K202" i="1"/>
  <c r="L202" i="1"/>
  <c r="Q37" i="3"/>
  <c r="AH35" i="4"/>
  <c r="I146" i="1"/>
  <c r="AL35" i="4"/>
  <c r="AP35" i="4" s="1"/>
  <c r="V42" i="4"/>
  <c r="Y54" i="4"/>
  <c r="AM53" i="4"/>
  <c r="AQ53" i="4" s="1"/>
  <c r="I257" i="1"/>
  <c r="J257" i="1" s="1"/>
  <c r="K68" i="1"/>
  <c r="L68" i="1"/>
  <c r="K99" i="1"/>
  <c r="L99" i="1"/>
  <c r="AD33" i="4"/>
  <c r="L88" i="1"/>
  <c r="K88" i="1"/>
  <c r="J58" i="4"/>
  <c r="L188" i="1"/>
  <c r="K188" i="1"/>
  <c r="X42" i="4"/>
  <c r="I148" i="1"/>
  <c r="J33" i="7" s="1"/>
  <c r="K58" i="1"/>
  <c r="L58" i="1"/>
  <c r="AL29" i="4"/>
  <c r="AP29" i="4" s="1"/>
  <c r="AH29" i="4"/>
  <c r="I98" i="1"/>
  <c r="J98" i="1" s="1"/>
  <c r="K167" i="1"/>
  <c r="L167" i="1"/>
  <c r="AF42" i="4"/>
  <c r="AO42" i="4" s="1"/>
  <c r="AS42" i="4" s="1"/>
  <c r="K82" i="1"/>
  <c r="L82" i="1"/>
  <c r="L227" i="1"/>
  <c r="K227" i="1"/>
  <c r="Q43" i="3"/>
  <c r="S43" i="3" s="1"/>
  <c r="T43" i="3" s="1"/>
  <c r="AG33" i="4"/>
  <c r="I85" i="1"/>
  <c r="S33" i="7" s="1"/>
  <c r="Q43" i="4"/>
  <c r="Q24" i="4"/>
  <c r="AU32" i="4"/>
  <c r="X51" i="4"/>
  <c r="I244" i="1"/>
  <c r="AA33" i="4"/>
  <c r="Z33" i="4"/>
  <c r="AE51" i="4"/>
  <c r="AJ21" i="4"/>
  <c r="AK21" i="4" s="1"/>
  <c r="AH53" i="4"/>
  <c r="Q52" i="3"/>
  <c r="V54" i="4"/>
  <c r="AL53" i="4"/>
  <c r="AP53" i="4" s="1"/>
  <c r="I254" i="1"/>
  <c r="L26" i="1"/>
  <c r="K26" i="1"/>
  <c r="X33" i="4"/>
  <c r="AJ20" i="4"/>
  <c r="AK20" i="4" s="1"/>
  <c r="K130" i="1"/>
  <c r="L130" i="1"/>
  <c r="AU51" i="4"/>
  <c r="K176" i="1"/>
  <c r="L176" i="1"/>
  <c r="I92" i="1"/>
  <c r="AN28" i="4"/>
  <c r="AR28" i="4" s="1"/>
  <c r="AB33" i="4"/>
  <c r="L124" i="1"/>
  <c r="K124" i="1"/>
  <c r="L70" i="1"/>
  <c r="K70" i="1"/>
  <c r="E10" i="3" l="1"/>
  <c r="F10" i="3" s="1"/>
  <c r="C11" i="3"/>
  <c r="AN51" i="4"/>
  <c r="AR51" i="4" s="1"/>
  <c r="K155" i="1"/>
  <c r="AV56" i="4"/>
  <c r="AW56" i="4" s="1"/>
  <c r="O34" i="7"/>
  <c r="AM54" i="4"/>
  <c r="AQ54" i="4" s="1"/>
  <c r="AR24" i="4"/>
  <c r="D32" i="7"/>
  <c r="AN23" i="4"/>
  <c r="AR23" i="4" s="1"/>
  <c r="J44" i="4"/>
  <c r="M45" i="4"/>
  <c r="M46" i="4" s="1"/>
  <c r="M58" i="4"/>
  <c r="M59" i="4" s="1"/>
  <c r="M60" i="4" s="1"/>
  <c r="M61" i="4" s="1"/>
  <c r="M44" i="4"/>
  <c r="AV32" i="4"/>
  <c r="AW32" i="4" s="1"/>
  <c r="N34" i="7"/>
  <c r="AD43" i="4"/>
  <c r="AD44" i="4" s="1"/>
  <c r="L154" i="1"/>
  <c r="AL33" i="4"/>
  <c r="AP33" i="4" s="1"/>
  <c r="K48" i="1"/>
  <c r="CR13" i="2"/>
  <c r="BY63" i="2"/>
  <c r="S34" i="7"/>
  <c r="L60" i="4"/>
  <c r="L61" i="4" s="1"/>
  <c r="Z43" i="4"/>
  <c r="D11" i="3"/>
  <c r="AM33" i="4"/>
  <c r="AQ33" i="4" s="1"/>
  <c r="J84" i="1"/>
  <c r="K84" i="1" s="1"/>
  <c r="CR16" i="2"/>
  <c r="J254" i="1"/>
  <c r="K254" i="1" s="1"/>
  <c r="D15" i="7"/>
  <c r="E15" i="7" s="1"/>
  <c r="F15" i="7" s="1"/>
  <c r="BY27" i="2"/>
  <c r="J244" i="1"/>
  <c r="K244" i="1" s="1"/>
  <c r="CT8" i="2"/>
  <c r="J255" i="1"/>
  <c r="K255" i="1" s="1"/>
  <c r="CT7" i="2"/>
  <c r="J258" i="1"/>
  <c r="K258" i="1" s="1"/>
  <c r="CT10" i="2"/>
  <c r="I34" i="7"/>
  <c r="J242" i="1"/>
  <c r="K242" i="1" s="1"/>
  <c r="CT6" i="2"/>
  <c r="K34" i="7"/>
  <c r="CR9" i="2"/>
  <c r="J77" i="1"/>
  <c r="J245" i="1"/>
  <c r="L245" i="1" s="1"/>
  <c r="CT9" i="2"/>
  <c r="R33" i="7"/>
  <c r="C18" i="7"/>
  <c r="C19" i="7" s="1"/>
  <c r="C24" i="7" s="1"/>
  <c r="J92" i="1"/>
  <c r="K92" i="1" s="1"/>
  <c r="CR12" i="2"/>
  <c r="R34" i="7"/>
  <c r="AA43" i="4"/>
  <c r="AA45" i="4" s="1"/>
  <c r="AA46" i="4" s="1"/>
  <c r="J251" i="1"/>
  <c r="L251" i="1" s="1"/>
  <c r="CT15" i="2"/>
  <c r="J146" i="1"/>
  <c r="K146" i="1" s="1"/>
  <c r="D11" i="7"/>
  <c r="E11" i="7" s="1"/>
  <c r="F11" i="7" s="1"/>
  <c r="BY15" i="2"/>
  <c r="AM42" i="4"/>
  <c r="AQ42" i="4" s="1"/>
  <c r="J150" i="1"/>
  <c r="K150" i="1" s="1"/>
  <c r="CR10" i="2"/>
  <c r="L38" i="1"/>
  <c r="AV39" i="4"/>
  <c r="AW39" i="4" s="1"/>
  <c r="J74" i="1"/>
  <c r="CR6" i="2"/>
  <c r="BY13" i="2"/>
  <c r="H34" i="7"/>
  <c r="D10" i="7"/>
  <c r="E10" i="7" s="1"/>
  <c r="F10" i="7" s="1"/>
  <c r="D12" i="7"/>
  <c r="AV19" i="4"/>
  <c r="AW19" i="4" s="1"/>
  <c r="D31" i="7"/>
  <c r="E7" i="7"/>
  <c r="F7" i="7" s="1"/>
  <c r="E31" i="7" s="1"/>
  <c r="K81" i="1"/>
  <c r="L81" i="1"/>
  <c r="BY60" i="2"/>
  <c r="CA7" i="2"/>
  <c r="BY11" i="2"/>
  <c r="BY48" i="2"/>
  <c r="BY49" i="2" s="1"/>
  <c r="D14" i="7"/>
  <c r="E14" i="7" s="1"/>
  <c r="F14" i="7" s="1"/>
  <c r="BY25" i="2"/>
  <c r="M34" i="7"/>
  <c r="K194" i="1"/>
  <c r="J85" i="1"/>
  <c r="K85" i="1" s="1"/>
  <c r="CR17" i="2"/>
  <c r="J259" i="1"/>
  <c r="K259" i="1" s="1"/>
  <c r="CT11" i="2"/>
  <c r="K12" i="1"/>
  <c r="L12" i="1"/>
  <c r="J262" i="1"/>
  <c r="L262" i="1" s="1"/>
  <c r="CT14" i="2"/>
  <c r="AV15" i="4"/>
  <c r="AW15" i="4" s="1"/>
  <c r="L7" i="1"/>
  <c r="H33" i="7"/>
  <c r="AV20" i="4"/>
  <c r="AW20" i="4" s="1"/>
  <c r="CR11" i="2"/>
  <c r="Q33" i="7"/>
  <c r="CT13" i="2"/>
  <c r="M33" i="7"/>
  <c r="CT17" i="2"/>
  <c r="AV14" i="4"/>
  <c r="AW14" i="4" s="1"/>
  <c r="AC43" i="4"/>
  <c r="AC44" i="4" s="1"/>
  <c r="N33" i="7"/>
  <c r="AV21" i="4"/>
  <c r="AW21" i="4" s="1"/>
  <c r="I33" i="7"/>
  <c r="CR7" i="2"/>
  <c r="AO51" i="4"/>
  <c r="AS51" i="4" s="1"/>
  <c r="J148" i="1"/>
  <c r="K148" i="1" s="1"/>
  <c r="J34" i="7"/>
  <c r="CR8" i="2"/>
  <c r="W43" i="4"/>
  <c r="CG8" i="2"/>
  <c r="CD8" i="2"/>
  <c r="CE8" i="2"/>
  <c r="L56" i="1"/>
  <c r="K56" i="1"/>
  <c r="J264" i="1"/>
  <c r="L264" i="1" s="1"/>
  <c r="CT16" i="2"/>
  <c r="AV36" i="4"/>
  <c r="AW36" i="4" s="1"/>
  <c r="BY36" i="2"/>
  <c r="D13" i="7"/>
  <c r="AO54" i="4"/>
  <c r="AS54" i="4" s="1"/>
  <c r="J83" i="1"/>
  <c r="CR15" i="2"/>
  <c r="K8" i="1"/>
  <c r="L8" i="1"/>
  <c r="CT12" i="2"/>
  <c r="O33" i="7"/>
  <c r="BY38" i="2"/>
  <c r="BY18" i="2"/>
  <c r="L33" i="7"/>
  <c r="D22" i="7"/>
  <c r="E22" i="7" s="1"/>
  <c r="AA58" i="4"/>
  <c r="Z45" i="4"/>
  <c r="Z46" i="4" s="1"/>
  <c r="Z58" i="4"/>
  <c r="Z44" i="4"/>
  <c r="AC58" i="4"/>
  <c r="W44" i="4"/>
  <c r="W58" i="4"/>
  <c r="W45" i="4"/>
  <c r="W46" i="4" s="1"/>
  <c r="J59" i="4"/>
  <c r="J60" i="4" s="1"/>
  <c r="J61" i="4" s="1"/>
  <c r="K149" i="1"/>
  <c r="L149" i="1"/>
  <c r="AL54" i="4"/>
  <c r="AP54" i="4" s="1"/>
  <c r="AH54" i="4"/>
  <c r="AL42" i="4"/>
  <c r="AP42" i="4" s="1"/>
  <c r="AH42" i="4"/>
  <c r="AJ31" i="4"/>
  <c r="AK31" i="4" s="1"/>
  <c r="AV31" i="4"/>
  <c r="AW31" i="4" s="1"/>
  <c r="K89" i="1"/>
  <c r="L89" i="1"/>
  <c r="E9" i="3"/>
  <c r="F9" i="3" s="1"/>
  <c r="AV53" i="4"/>
  <c r="AW53" i="4" s="1"/>
  <c r="AJ53" i="4"/>
  <c r="AK53" i="4" s="1"/>
  <c r="L98" i="1"/>
  <c r="K98" i="1"/>
  <c r="K203" i="1"/>
  <c r="L203" i="1"/>
  <c r="AF43" i="4"/>
  <c r="C13" i="3"/>
  <c r="E13" i="3" s="1"/>
  <c r="F13" i="3" s="1"/>
  <c r="S37" i="3"/>
  <c r="T37" i="3" s="1"/>
  <c r="X43" i="4"/>
  <c r="X24" i="4"/>
  <c r="AV27" i="4"/>
  <c r="AW27" i="4" s="1"/>
  <c r="AJ27" i="4"/>
  <c r="AK27" i="4" s="1"/>
  <c r="AQ24" i="4"/>
  <c r="Y43" i="4"/>
  <c r="Y24" i="4"/>
  <c r="AM23" i="4"/>
  <c r="AQ23" i="4" s="1"/>
  <c r="L151" i="1"/>
  <c r="K151" i="1"/>
  <c r="AV17" i="4"/>
  <c r="AW17" i="4" s="1"/>
  <c r="AJ17" i="4"/>
  <c r="AK17" i="4" s="1"/>
  <c r="AV30" i="4"/>
  <c r="AW30" i="4" s="1"/>
  <c r="K83" i="1"/>
  <c r="L83" i="1"/>
  <c r="S59" i="4"/>
  <c r="S60" i="4" s="1"/>
  <c r="S61" i="4" s="1"/>
  <c r="S51" i="3"/>
  <c r="T51" i="3" s="1"/>
  <c r="C15" i="3"/>
  <c r="E15" i="3" s="1"/>
  <c r="F15" i="3" s="1"/>
  <c r="L261" i="1"/>
  <c r="K261" i="1"/>
  <c r="L131" i="1"/>
  <c r="K131" i="1"/>
  <c r="K101" i="1"/>
  <c r="L101" i="1"/>
  <c r="I45" i="4"/>
  <c r="U43" i="4"/>
  <c r="I58" i="4"/>
  <c r="I44" i="4"/>
  <c r="K107" i="1"/>
  <c r="L107" i="1"/>
  <c r="AN33" i="4"/>
  <c r="AR33" i="4" s="1"/>
  <c r="AB43" i="4"/>
  <c r="L257" i="1"/>
  <c r="K257" i="1"/>
  <c r="AN42" i="4"/>
  <c r="AR42" i="4" s="1"/>
  <c r="K87" i="1"/>
  <c r="L87" i="1"/>
  <c r="AV40" i="4"/>
  <c r="AW40" i="4" s="1"/>
  <c r="AJ40" i="4"/>
  <c r="AK40" i="4" s="1"/>
  <c r="U24" i="4"/>
  <c r="AU23" i="4"/>
  <c r="L265" i="1"/>
  <c r="K265" i="1"/>
  <c r="AH33" i="4"/>
  <c r="L215" i="1"/>
  <c r="K215" i="1"/>
  <c r="AJ28" i="4"/>
  <c r="AK28" i="4" s="1"/>
  <c r="AV28" i="4"/>
  <c r="AW28" i="4" s="1"/>
  <c r="K95" i="1"/>
  <c r="L95" i="1"/>
  <c r="E11" i="3"/>
  <c r="F11" i="3" s="1"/>
  <c r="D14" i="3"/>
  <c r="K264" i="1"/>
  <c r="C16" i="3"/>
  <c r="E16" i="3" s="1"/>
  <c r="F16" i="3" s="1"/>
  <c r="S52" i="3"/>
  <c r="T52" i="3" s="1"/>
  <c r="AV57" i="4"/>
  <c r="AW57" i="4" s="1"/>
  <c r="AJ57" i="4"/>
  <c r="AK57" i="4" s="1"/>
  <c r="Q44" i="4"/>
  <c r="Q58" i="4"/>
  <c r="Q45" i="4"/>
  <c r="Q46" i="4" s="1"/>
  <c r="K104" i="1"/>
  <c r="L104" i="1"/>
  <c r="AV41" i="4"/>
  <c r="AW41" i="4" s="1"/>
  <c r="AJ41" i="4"/>
  <c r="AK41" i="4" s="1"/>
  <c r="K224" i="1"/>
  <c r="L224" i="1"/>
  <c r="K125" i="1"/>
  <c r="L125" i="1"/>
  <c r="K147" i="1"/>
  <c r="L147" i="1"/>
  <c r="AJ29" i="4"/>
  <c r="AK29" i="4" s="1"/>
  <c r="AV29" i="4"/>
  <c r="AW29" i="4" s="1"/>
  <c r="AV35" i="4"/>
  <c r="AW35" i="4" s="1"/>
  <c r="AJ35" i="4"/>
  <c r="AK35" i="4" s="1"/>
  <c r="T59" i="4"/>
  <c r="T60" i="4" s="1"/>
  <c r="T61" i="4" s="1"/>
  <c r="L242" i="1"/>
  <c r="K256" i="1"/>
  <c r="L256" i="1"/>
  <c r="K260" i="1"/>
  <c r="L260" i="1"/>
  <c r="AO23" i="4"/>
  <c r="AS23" i="4" s="1"/>
  <c r="AS24" i="4"/>
  <c r="AE43" i="4"/>
  <c r="AE24" i="4"/>
  <c r="K128" i="1"/>
  <c r="L128" i="1"/>
  <c r="AJ50" i="4"/>
  <c r="AK50" i="4" s="1"/>
  <c r="AV50" i="4"/>
  <c r="AW50" i="4" s="1"/>
  <c r="R44" i="4"/>
  <c r="R58" i="4"/>
  <c r="R45" i="4"/>
  <c r="R46" i="4" s="1"/>
  <c r="AG43" i="4"/>
  <c r="AG24" i="4"/>
  <c r="AN54" i="4"/>
  <c r="AR54" i="4" s="1"/>
  <c r="K93" i="1"/>
  <c r="L93" i="1"/>
  <c r="AJ22" i="4"/>
  <c r="AK22" i="4" s="1"/>
  <c r="AV22" i="4"/>
  <c r="AW22" i="4" s="1"/>
  <c r="AL51" i="4"/>
  <c r="AP51" i="4" s="1"/>
  <c r="AH51" i="4"/>
  <c r="AV16" i="4"/>
  <c r="AW16" i="4" s="1"/>
  <c r="L148" i="1"/>
  <c r="K152" i="1"/>
  <c r="L152" i="1"/>
  <c r="O59" i="4"/>
  <c r="O60" i="4" s="1"/>
  <c r="O61" i="4" s="1"/>
  <c r="AV38" i="4"/>
  <c r="AW38" i="4" s="1"/>
  <c r="K221" i="1"/>
  <c r="L221" i="1"/>
  <c r="V24" i="4"/>
  <c r="AH23" i="4"/>
  <c r="AP24" i="4"/>
  <c r="V43" i="4"/>
  <c r="AL23" i="4"/>
  <c r="AP23" i="4" s="1"/>
  <c r="P59" i="4"/>
  <c r="P60" i="4" s="1"/>
  <c r="P61" i="4" s="1"/>
  <c r="AO33" i="4"/>
  <c r="AS33" i="4" s="1"/>
  <c r="C12" i="3"/>
  <c r="E12" i="3" s="1"/>
  <c r="F12" i="3" s="1"/>
  <c r="K209" i="1"/>
  <c r="L209" i="1"/>
  <c r="K263" i="1"/>
  <c r="L263" i="1"/>
  <c r="L122" i="1"/>
  <c r="K122" i="1"/>
  <c r="K86" i="1"/>
  <c r="L86" i="1"/>
  <c r="S45" i="3"/>
  <c r="T45" i="3" s="1"/>
  <c r="K206" i="1"/>
  <c r="L206" i="1"/>
  <c r="AV37" i="4"/>
  <c r="AW37" i="4" s="1"/>
  <c r="AC45" i="4" l="1"/>
  <c r="AC46" i="4" s="1"/>
  <c r="L84" i="1"/>
  <c r="L255" i="1"/>
  <c r="L85" i="1"/>
  <c r="L146" i="1"/>
  <c r="CA10" i="2"/>
  <c r="CD10" i="2" s="1"/>
  <c r="K245" i="1"/>
  <c r="L254" i="1"/>
  <c r="AD58" i="4"/>
  <c r="AD59" i="4" s="1"/>
  <c r="AD60" i="4" s="1"/>
  <c r="AD61" i="4" s="1"/>
  <c r="L150" i="1"/>
  <c r="K251" i="1"/>
  <c r="AD45" i="4"/>
  <c r="AD46" i="4" s="1"/>
  <c r="K262" i="1"/>
  <c r="AA44" i="4"/>
  <c r="L92" i="1"/>
  <c r="L244" i="1"/>
  <c r="K77" i="1"/>
  <c r="L77" i="1"/>
  <c r="BY50" i="2"/>
  <c r="BY52" i="2"/>
  <c r="BY17" i="2"/>
  <c r="BY19" i="2" s="1"/>
  <c r="D34" i="7"/>
  <c r="E13" i="7"/>
  <c r="F13" i="7" s="1"/>
  <c r="E34" i="7" s="1"/>
  <c r="D23" i="7"/>
  <c r="E23" i="7" s="1"/>
  <c r="L258" i="1"/>
  <c r="BY30" i="2"/>
  <c r="BY22" i="2"/>
  <c r="BY40" i="2" s="1"/>
  <c r="E12" i="7"/>
  <c r="F12" i="7" s="1"/>
  <c r="E33" i="7" s="1"/>
  <c r="D17" i="7"/>
  <c r="D33" i="7"/>
  <c r="BY39" i="2"/>
  <c r="AD42" i="2" s="1"/>
  <c r="AD43" i="2" s="1"/>
  <c r="L259" i="1"/>
  <c r="CD7" i="2"/>
  <c r="CE7" i="2"/>
  <c r="CG7" i="2"/>
  <c r="K74" i="1"/>
  <c r="L74" i="1"/>
  <c r="AV51" i="4"/>
  <c r="AW51" i="4" s="1"/>
  <c r="AJ51" i="4"/>
  <c r="AK51" i="4" s="1"/>
  <c r="R59" i="4"/>
  <c r="R60" i="4" s="1"/>
  <c r="R61" i="4" s="1"/>
  <c r="AN43" i="4"/>
  <c r="AR43" i="4" s="1"/>
  <c r="AB45" i="4"/>
  <c r="AR44" i="4"/>
  <c r="AB44" i="4"/>
  <c r="AB58" i="4"/>
  <c r="AJ42" i="4"/>
  <c r="AK42" i="4" s="1"/>
  <c r="AV42" i="4"/>
  <c r="AW42" i="4" s="1"/>
  <c r="X45" i="4"/>
  <c r="X46" i="4" s="1"/>
  <c r="X58" i="4"/>
  <c r="X44" i="4"/>
  <c r="AJ54" i="4"/>
  <c r="AK54" i="4" s="1"/>
  <c r="AV54" i="4"/>
  <c r="AW54" i="4" s="1"/>
  <c r="AC59" i="4"/>
  <c r="AC60" i="4"/>
  <c r="AC61" i="4" s="1"/>
  <c r="Y45" i="4"/>
  <c r="Y58" i="4"/>
  <c r="Y44" i="4"/>
  <c r="AQ44" i="4"/>
  <c r="AM43" i="4"/>
  <c r="AQ43" i="4" s="1"/>
  <c r="AV33" i="4"/>
  <c r="AW33" i="4" s="1"/>
  <c r="AJ33" i="4"/>
  <c r="AK33" i="4" s="1"/>
  <c r="AH24" i="4"/>
  <c r="AK24" i="4" s="1"/>
  <c r="AV23" i="4"/>
  <c r="AW23" i="4" s="1"/>
  <c r="AJ23" i="4"/>
  <c r="AK23" i="4" s="1"/>
  <c r="D18" i="3"/>
  <c r="W59" i="4"/>
  <c r="W60" i="4" s="1"/>
  <c r="W61" i="4" s="1"/>
  <c r="Q59" i="4"/>
  <c r="Q60" i="4" s="1"/>
  <c r="Q61" i="4" s="1"/>
  <c r="Z59" i="4"/>
  <c r="Z60" i="4" s="1"/>
  <c r="Z61" i="4" s="1"/>
  <c r="AE58" i="4"/>
  <c r="AO43" i="4"/>
  <c r="AS43" i="4" s="1"/>
  <c r="AS44" i="4"/>
  <c r="AE45" i="4"/>
  <c r="AE44" i="4"/>
  <c r="I59" i="4"/>
  <c r="U58" i="4"/>
  <c r="AU58" i="4" s="1"/>
  <c r="C14" i="3"/>
  <c r="C18" i="3" s="1"/>
  <c r="AG58" i="4"/>
  <c r="AG44" i="4"/>
  <c r="AG45" i="4"/>
  <c r="AG46" i="4" s="1"/>
  <c r="AU43" i="4"/>
  <c r="U44" i="4"/>
  <c r="V58" i="4"/>
  <c r="V45" i="4"/>
  <c r="AP44" i="4"/>
  <c r="V44" i="4"/>
  <c r="AH43" i="4"/>
  <c r="AL43" i="4"/>
  <c r="AP43" i="4" s="1"/>
  <c r="I46" i="4"/>
  <c r="U45" i="4"/>
  <c r="AF58" i="4"/>
  <c r="AF45" i="4"/>
  <c r="AF46" i="4" s="1"/>
  <c r="AF44" i="4"/>
  <c r="AA59" i="4"/>
  <c r="AA60" i="4"/>
  <c r="AA61" i="4" s="1"/>
  <c r="CG10" i="2" l="1"/>
  <c r="CE10" i="2"/>
  <c r="CA9" i="2"/>
  <c r="BY45" i="2"/>
  <c r="AG42" i="2" s="1"/>
  <c r="AG43" i="2" s="1"/>
  <c r="BY53" i="2"/>
  <c r="BY54" i="2"/>
  <c r="D18" i="7"/>
  <c r="E18" i="7" s="1"/>
  <c r="F18" i="7" s="1"/>
  <c r="E17" i="7"/>
  <c r="F17" i="7" s="1"/>
  <c r="D19" i="7"/>
  <c r="BY32" i="2"/>
  <c r="BY34" i="2" s="1"/>
  <c r="BY31" i="2"/>
  <c r="BY23" i="2"/>
  <c r="BY41" i="2" s="1"/>
  <c r="AE42" i="2" s="1"/>
  <c r="AE43" i="2" s="1"/>
  <c r="C19" i="3"/>
  <c r="C20" i="3" s="1"/>
  <c r="AM58" i="4"/>
  <c r="AQ58" i="4" s="1"/>
  <c r="Y59" i="4"/>
  <c r="AM59" i="4" s="1"/>
  <c r="AQ59" i="4" s="1"/>
  <c r="U59" i="4"/>
  <c r="AU59" i="4" s="1"/>
  <c r="Y46" i="4"/>
  <c r="AM45" i="4"/>
  <c r="AQ45" i="4" s="1"/>
  <c r="AQ46" i="4"/>
  <c r="AN58" i="4"/>
  <c r="AR58" i="4" s="1"/>
  <c r="AB59" i="4"/>
  <c r="AN59" i="4" s="1"/>
  <c r="AR59" i="4" s="1"/>
  <c r="AB60" i="4"/>
  <c r="I60" i="4"/>
  <c r="AS46" i="4"/>
  <c r="AO45" i="4"/>
  <c r="AS45" i="4" s="1"/>
  <c r="AE46" i="4"/>
  <c r="AU45" i="4"/>
  <c r="U46" i="4"/>
  <c r="AG59" i="4"/>
  <c r="AG60" i="4"/>
  <c r="AG61" i="4" s="1"/>
  <c r="AJ43" i="4"/>
  <c r="AK43" i="4" s="1"/>
  <c r="AV43" i="4"/>
  <c r="AW43" i="4" s="1"/>
  <c r="AH44" i="4"/>
  <c r="AK44" i="4" s="1"/>
  <c r="D19" i="3"/>
  <c r="E18" i="3"/>
  <c r="F18" i="3" s="1"/>
  <c r="E14" i="3"/>
  <c r="F14" i="3" s="1"/>
  <c r="V46" i="4"/>
  <c r="AL45" i="4"/>
  <c r="AP45" i="4" s="1"/>
  <c r="AP46" i="4"/>
  <c r="AH45" i="4"/>
  <c r="AN45" i="4"/>
  <c r="AR45" i="4" s="1"/>
  <c r="AB46" i="4"/>
  <c r="AR46" i="4"/>
  <c r="V59" i="4"/>
  <c r="AL58" i="4"/>
  <c r="AP58" i="4" s="1"/>
  <c r="AH58" i="4"/>
  <c r="AE59" i="4"/>
  <c r="AO58" i="4"/>
  <c r="AS58" i="4" s="1"/>
  <c r="AF59" i="4"/>
  <c r="AF60" i="4" s="1"/>
  <c r="AF61" i="4" s="1"/>
  <c r="X59" i="4"/>
  <c r="X60" i="4" s="1"/>
  <c r="X61" i="4" s="1"/>
  <c r="E19" i="3" l="1"/>
  <c r="F19" i="3" s="1"/>
  <c r="CA6" i="2"/>
  <c r="BY42" i="2"/>
  <c r="D24" i="7"/>
  <c r="E24" i="7" s="1"/>
  <c r="E19" i="7"/>
  <c r="F19" i="7" s="1"/>
  <c r="BY33" i="2"/>
  <c r="BY35" i="2" s="1"/>
  <c r="BY37" i="2"/>
  <c r="D20" i="3"/>
  <c r="B21" i="3" s="1"/>
  <c r="CG9" i="2"/>
  <c r="CE9" i="2"/>
  <c r="CD9" i="2"/>
  <c r="AH59" i="4"/>
  <c r="AL59" i="4"/>
  <c r="AP59" i="4" s="1"/>
  <c r="V60" i="4"/>
  <c r="AO59" i="4"/>
  <c r="AS59" i="4" s="1"/>
  <c r="AE60" i="4"/>
  <c r="AV58" i="4"/>
  <c r="AW58" i="4" s="1"/>
  <c r="AJ58" i="4"/>
  <c r="AK58" i="4" s="1"/>
  <c r="AR61" i="4"/>
  <c r="AB61" i="4"/>
  <c r="AN60" i="4"/>
  <c r="AR60" i="4" s="1"/>
  <c r="AV45" i="4"/>
  <c r="AW45" i="4" s="1"/>
  <c r="AH46" i="4"/>
  <c r="AK46" i="4" s="1"/>
  <c r="AJ45" i="4"/>
  <c r="AK45" i="4" s="1"/>
  <c r="Y60" i="4"/>
  <c r="I61" i="4"/>
  <c r="U60" i="4"/>
  <c r="E20" i="3" l="1"/>
  <c r="F20" i="3" s="1"/>
  <c r="BY61" i="2"/>
  <c r="BY58" i="2" s="1"/>
  <c r="BY43" i="2"/>
  <c r="AF42" i="2" s="1"/>
  <c r="CA12" i="2"/>
  <c r="AF43" i="2"/>
  <c r="CG6" i="2"/>
  <c r="CF6" i="2"/>
  <c r="CB6" i="2"/>
  <c r="AU60" i="4"/>
  <c r="U61" i="4"/>
  <c r="AS61" i="4"/>
  <c r="AE61" i="4"/>
  <c r="AO60" i="4"/>
  <c r="AS60" i="4" s="1"/>
  <c r="AM60" i="4"/>
  <c r="AQ60" i="4" s="1"/>
  <c r="AQ61" i="4"/>
  <c r="Y61" i="4"/>
  <c r="AP61" i="4"/>
  <c r="AL60" i="4"/>
  <c r="AP60" i="4" s="1"/>
  <c r="AH60" i="4"/>
  <c r="V61" i="4"/>
  <c r="AJ59" i="4"/>
  <c r="AK59" i="4" s="1"/>
  <c r="AV59" i="4"/>
  <c r="AW59" i="4" s="1"/>
  <c r="CB7" i="2" l="1"/>
  <c r="CC7" i="2" s="1"/>
  <c r="CF12" i="2"/>
  <c r="CB12" i="2"/>
  <c r="CG12" i="2"/>
  <c r="CA11" i="2"/>
  <c r="AJ60" i="4"/>
  <c r="AK60" i="4" s="1"/>
  <c r="AV60" i="4"/>
  <c r="AW60" i="4" s="1"/>
  <c r="AH61" i="4"/>
  <c r="AK61" i="4" s="1"/>
  <c r="CE11" i="2" l="1"/>
  <c r="CD11" i="2"/>
  <c r="CG11" i="2"/>
  <c r="CB8" i="2"/>
  <c r="CC8" i="2"/>
  <c r="CB9" i="2" l="1"/>
  <c r="CC9" i="2"/>
  <c r="CB10" i="2" l="1"/>
  <c r="CB11" i="2" l="1"/>
  <c r="CC11" i="2" s="1"/>
  <c r="CC10" i="2"/>
</calcChain>
</file>

<file path=xl/sharedStrings.xml><?xml version="1.0" encoding="utf-8"?>
<sst xmlns="http://schemas.openxmlformats.org/spreadsheetml/2006/main" count="580" uniqueCount="291">
  <si>
    <t>PRESUPUESTO 2027 · ESTADO DE RESULTADOS REAL 2026 Y PRESUPUESTO 2027</t>
  </si>
  <si>
    <t>Celdas lila = editables: real 2026 mes a mes y el crecimiento 2027 de cada cuenta. Ppto 2027 = mismo mes del 2026 × (1 + crecimiento). Todo se recalcula al instante. Millones de pesos · datos de ejemplo.</t>
  </si>
  <si>
    <t>← Volver al tablero</t>
  </si>
  <si>
    <t>SUPUESTOS GENERALES 2027</t>
  </si>
  <si>
    <t>Inflación (IPC) 2027</t>
  </si>
  <si>
    <t>Aplica a arriendos, servicios, honorarios y gastos indexados.</t>
  </si>
  <si>
    <t>Aumento salarial 2027</t>
  </si>
  <si>
    <t>Aplica a toda la nómina.</t>
  </si>
  <si>
    <t>El resto del crecimiento (volumen, precio, costo unitario, deuda) va implícito en la columna Crec. 2027 de cada cuenta: cámbialo ahí para sensibilizar.</t>
  </si>
  <si>
    <t>Meta de margen bruto</t>
  </si>
  <si>
    <t>Meta de margen EBITDA</t>
  </si>
  <si>
    <t>Meta de margen neto</t>
  </si>
  <si>
    <t>Meta de gastos operativos sobre ingresos</t>
  </si>
  <si>
    <t>Cuenta</t>
  </si>
  <si>
    <t>Línea</t>
  </si>
  <si>
    <t>Tipo</t>
  </si>
  <si>
    <t>Centro de costo</t>
  </si>
  <si>
    <t>Driver</t>
  </si>
  <si>
    <t>Crec. 2027</t>
  </si>
  <si>
    <t>2026</t>
  </si>
  <si>
    <t>2027</t>
  </si>
  <si>
    <t>Var $</t>
  </si>
  <si>
    <t>Var %</t>
  </si>
  <si>
    <t>Tendencia 2027</t>
  </si>
  <si>
    <t>Peso 2026</t>
  </si>
  <si>
    <t>Peso 2027</t>
  </si>
  <si>
    <t>Δ peso pp</t>
  </si>
  <si>
    <t>Ene 26</t>
  </si>
  <si>
    <t>Ene 27</t>
  </si>
  <si>
    <t>Feb 26</t>
  </si>
  <si>
    <t>Feb 27</t>
  </si>
  <si>
    <t>Mar 26</t>
  </si>
  <si>
    <t>Mar 27</t>
  </si>
  <si>
    <t>Abr 26</t>
  </si>
  <si>
    <t>Abr 27</t>
  </si>
  <si>
    <t>May 26</t>
  </si>
  <si>
    <t>May 27</t>
  </si>
  <si>
    <t>Jun 26</t>
  </si>
  <si>
    <t>Jun 27</t>
  </si>
  <si>
    <t>Jul 26</t>
  </si>
  <si>
    <t>Jul 27</t>
  </si>
  <si>
    <t>Ago 26</t>
  </si>
  <si>
    <t>Ago 27</t>
  </si>
  <si>
    <t>Sep 26</t>
  </si>
  <si>
    <t>Sep 27</t>
  </si>
  <si>
    <t>Oct 26</t>
  </si>
  <si>
    <t>Oct 27</t>
  </si>
  <si>
    <t>Nov 26</t>
  </si>
  <si>
    <t>Nov 27</t>
  </si>
  <si>
    <t>Dic 26</t>
  </si>
  <si>
    <t>Dic 27</t>
  </si>
  <si>
    <t>Var $ Q1</t>
  </si>
  <si>
    <t>Var % Q1</t>
  </si>
  <si>
    <t>Var $ Q2</t>
  </si>
  <si>
    <t>Var % Q2</t>
  </si>
  <si>
    <t>Var $ Q3</t>
  </si>
  <si>
    <t>Var % Q3</t>
  </si>
  <si>
    <t>Var $ Q4</t>
  </si>
  <si>
    <t>Var % Q4</t>
  </si>
  <si>
    <t>REAL</t>
  </si>
  <si>
    <t>PPTO</t>
  </si>
  <si>
    <t>SENSIBILIZACIÓN · 2027 contra 2026</t>
  </si>
  <si>
    <t>INGRESOS OPERACIONALES</t>
  </si>
  <si>
    <t>Venta de mercancía nacional</t>
  </si>
  <si>
    <t>Ingresos operacionales</t>
  </si>
  <si>
    <t>Ingreso</t>
  </si>
  <si>
    <t>Comercial</t>
  </si>
  <si>
    <t>Ventas</t>
  </si>
  <si>
    <t>Ventas canal digital</t>
  </si>
  <si>
    <t>Servicios de instalación</t>
  </si>
  <si>
    <t>Total ingresos operacionales</t>
  </si>
  <si>
    <t>COSTO DE VENTAS</t>
  </si>
  <si>
    <t>Costo de mercancía vendida</t>
  </si>
  <si>
    <t>Costo de ventas</t>
  </si>
  <si>
    <t>Costo</t>
  </si>
  <si>
    <t>Operaciones</t>
  </si>
  <si>
    <t>Costo variable</t>
  </si>
  <si>
    <t>Fletes de compra</t>
  </si>
  <si>
    <t>Mermas y averías</t>
  </si>
  <si>
    <t>Total costo de ventas</t>
  </si>
  <si>
    <t>Utilidad bruta</t>
  </si>
  <si>
    <t>T</t>
  </si>
  <si>
    <t>Margen bruto</t>
  </si>
  <si>
    <t>M</t>
  </si>
  <si>
    <t>GASTOS DE ADMINISTRACIÓN</t>
  </si>
  <si>
    <t>Nómina administrativa</t>
  </si>
  <si>
    <t>Gastos de administración</t>
  </si>
  <si>
    <t>Gasto</t>
  </si>
  <si>
    <t>Administración</t>
  </si>
  <si>
    <t>Nómina</t>
  </si>
  <si>
    <t>Arrendamiento de oficinas</t>
  </si>
  <si>
    <t>IPC</t>
  </si>
  <si>
    <t>Servicios públicos</t>
  </si>
  <si>
    <t>Honorarios profesionales</t>
  </si>
  <si>
    <t>Tecnología y software</t>
  </si>
  <si>
    <t>Depreciación y amortización</t>
  </si>
  <si>
    <t>Fijo</t>
  </si>
  <si>
    <t>Total gastos de administración</t>
  </si>
  <si>
    <t>GASTOS DE VENTAS</t>
  </si>
  <si>
    <t>Nómina comercial</t>
  </si>
  <si>
    <t>Gastos de ventas</t>
  </si>
  <si>
    <t>Comisiones de ventas</t>
  </si>
  <si>
    <t>Publicidad y mercadeo</t>
  </si>
  <si>
    <t>Transporte y distribución</t>
  </si>
  <si>
    <t>Volumen</t>
  </si>
  <si>
    <t>Nómina de bodega</t>
  </si>
  <si>
    <t>Arrendamiento de bodega</t>
  </si>
  <si>
    <t>Mantenimiento</t>
  </si>
  <si>
    <t>Total gastos de ventas</t>
  </si>
  <si>
    <t>Utilidad operacional (EBIT)</t>
  </si>
  <si>
    <t>Margen operacional</t>
  </si>
  <si>
    <t>EBITDA</t>
  </si>
  <si>
    <t>Margen EBITDA</t>
  </si>
  <si>
    <t>GASTOS FINANCIEROS</t>
  </si>
  <si>
    <t>Intereses financieros</t>
  </si>
  <si>
    <t>Gastos financieros</t>
  </si>
  <si>
    <t>Corporativo</t>
  </si>
  <si>
    <t>Financiero</t>
  </si>
  <si>
    <t>Comisiones bancarias</t>
  </si>
  <si>
    <t>Total gastos financieros</t>
  </si>
  <si>
    <t>OTROS INGRESOS NO OPERACIONALES</t>
  </si>
  <si>
    <t>Ingresos por arrendamientos</t>
  </si>
  <si>
    <t>Otros ingresos no operacionales</t>
  </si>
  <si>
    <t>Total otros ingresos no operacionales</t>
  </si>
  <si>
    <t>OTROS GASTOS NO OPERACIONALES</t>
  </si>
  <si>
    <t>Gastos extraordinarios</t>
  </si>
  <si>
    <t>Otros gastos no operacionales</t>
  </si>
  <si>
    <t>Total otros gastos no operacionales</t>
  </si>
  <si>
    <t>Utilidad antes de impuestos</t>
  </si>
  <si>
    <t>Impuesto de renta</t>
  </si>
  <si>
    <t>Tasa de renta</t>
  </si>
  <si>
    <t>Utilidad neta</t>
  </si>
  <si>
    <t>Margen neto</t>
  </si>
  <si>
    <t>SEGUIMIENTO 2027 · REAL CONTRA PRESUPUESTO AL MES DE CORTE</t>
  </si>
  <si>
    <t>Pega tu real 2027 en la tabla de abajo (celdas lila; hoy trae cifras sintéticas) y elige el mes de corte. Millones de pesos.</t>
  </si>
  <si>
    <t>Mes de corte</t>
  </si>
  <si>
    <t>Ago</t>
  </si>
  <si>
    <t>REAL 2027 · pega aquí tu P&amp;G mes a mes (misma lista de cuentas que la hoja PPTO 2027)</t>
  </si>
  <si>
    <t>Ene</t>
  </si>
  <si>
    <t>Feb</t>
  </si>
  <si>
    <t>Mar</t>
  </si>
  <si>
    <t>Abr</t>
  </si>
  <si>
    <t>May</t>
  </si>
  <si>
    <t>Jun</t>
  </si>
  <si>
    <t>Jul</t>
  </si>
  <si>
    <t>Sep</t>
  </si>
  <si>
    <t>Oct</t>
  </si>
  <si>
    <t>Nov</t>
  </si>
  <si>
    <t>Dic</t>
  </si>
  <si>
    <t>Ppto acum.</t>
  </si>
  <si>
    <t>Real acum.</t>
  </si>
  <si>
    <t>Resumen al corte</t>
  </si>
  <si>
    <t>Utilidad operativa</t>
  </si>
  <si>
    <t>Mes</t>
  </si>
  <si>
    <t>MesNum</t>
  </si>
  <si>
    <t>Real</t>
  </si>
  <si>
    <t>Presupuesto</t>
  </si>
  <si>
    <t>Var</t>
  </si>
  <si>
    <t>VarAbs</t>
  </si>
  <si>
    <t>VarPct</t>
  </si>
  <si>
    <t>Real 2027</t>
  </si>
  <si>
    <t>ESTADO DE RESULTADOS · PRESUPUESTO 2027 VS. REAL 2026</t>
  </si>
  <si>
    <t>Millones de pesos · se recalcula al instante al cambiar un supuesto en la hoja PPTO 2027 · datos de ejemplo</t>
  </si>
  <si>
    <t>Estado de resultados</t>
  </si>
  <si>
    <t>Real 2026</t>
  </si>
  <si>
    <t>Ppto 2027</t>
  </si>
  <si>
    <t>Márgenes</t>
  </si>
  <si>
    <t>MES A MES · PRESUPUESTO 2027 CONTRA EL MISMO MES DE 2026</t>
  </si>
  <si>
    <t>Variación de cada mes contra el mismo mes del año anterior, no contra el promedio. Tendencia: cómo se mueve esa variación a lo largo del año (verde el mes más alto, rojo el más bajo).</t>
  </si>
  <si>
    <t>Tendencia</t>
  </si>
  <si>
    <t>Cómo leerlo: en ingresos la variación es la misma todos los meses porque el presupuesto conserva la estacionalidad del 2026. La utilidad operativa crece mucho más en los meses flojos (enero) que en los fuertes: con una base pequeña, los gastos fijos pesan más y cada peso de venta adicional mueve más la utilidad. Ese es el apalancamiento operativo.</t>
  </si>
  <si>
    <t>CAPA DE CÁLCULO - no editar. Responde a las pestañas del Tablero.</t>
  </si>
  <si>
    <t>Total Real</t>
  </si>
  <si>
    <t>Valores</t>
  </si>
  <si>
    <t>Total Presupuesto</t>
  </si>
  <si>
    <t>Total Var</t>
  </si>
  <si>
    <t>Total VarAbs</t>
  </si>
  <si>
    <t>LíneaTab</t>
  </si>
  <si>
    <t>1 · Ingresos</t>
  </si>
  <si>
    <t>2 · Costo de ventas</t>
  </si>
  <si>
    <t>3 · Gastos operativos</t>
  </si>
  <si>
    <t>4 · Utilidad neta</t>
  </si>
  <si>
    <t>Corte</t>
  </si>
  <si>
    <t>Ingresos Real</t>
  </si>
  <si>
    <t>Ingresos Presupuesto</t>
  </si>
  <si>
    <t>Costo de ventas Real</t>
  </si>
  <si>
    <t>Costo de ventas Presupuesto</t>
  </si>
  <si>
    <t>Utilidad bruta Real</t>
  </si>
  <si>
    <t>Utilidad bruta Presupuesto</t>
  </si>
  <si>
    <t>Gastos administración Real</t>
  </si>
  <si>
    <t>Gastos administración Presupuesto</t>
  </si>
  <si>
    <t>Gastos de ventas Real</t>
  </si>
  <si>
    <t>Gastos de ventas Presupuesto</t>
  </si>
  <si>
    <t>Gastos operativos Real</t>
  </si>
  <si>
    <t>Gastos operativos Presupuesto</t>
  </si>
  <si>
    <t>Utilidad operativa Real</t>
  </si>
  <si>
    <t>Utilidad operativa Presupuesto</t>
  </si>
  <si>
    <t>Depreciación y amortización Real</t>
  </si>
  <si>
    <t>Depreciación y amortización Presupuesto</t>
  </si>
  <si>
    <t>EBITDA Real</t>
  </si>
  <si>
    <t>EBITDA Presupuesto</t>
  </si>
  <si>
    <t>Gastos financieros Real</t>
  </si>
  <si>
    <t>Gastos financieros Presupuesto</t>
  </si>
  <si>
    <t>Otros ingresos no operacionales Real</t>
  </si>
  <si>
    <t>Otros ingresos no operacionales Presupuesto</t>
  </si>
  <si>
    <t>Otros gastos no operacionales Real</t>
  </si>
  <si>
    <t>Otros gastos no operacionales Presupuesto</t>
  </si>
  <si>
    <t>Utilidad antes de impuestos Real</t>
  </si>
  <si>
    <t>Utilidad antes de impuestos Presupuesto</t>
  </si>
  <si>
    <t>Impuesto de renta Real</t>
  </si>
  <si>
    <t>Impuesto de renta Presupuesto</t>
  </si>
  <si>
    <t>Utilidad neta Real</t>
  </si>
  <si>
    <t>Utilidad neta Presupuesto</t>
  </si>
  <si>
    <t>Suma directa UAI Presupuesto (control)</t>
  </si>
  <si>
    <t>Cuadre (debe ser 0)</t>
  </si>
  <si>
    <t>Margen bruto Real</t>
  </si>
  <si>
    <t>Margen bruto Presupuesto</t>
  </si>
  <si>
    <t>Margen EBITDA Real</t>
  </si>
  <si>
    <t>Margen EBITDA Presupuesto</t>
  </si>
  <si>
    <t>Margen neto Real</t>
  </si>
  <si>
    <t>Margen neto Presupuesto</t>
  </si>
  <si>
    <t>Gastos operativos / Ingresos Real</t>
  </si>
  <si>
    <t>Gastos operativos / Ingresos Presupuesto</t>
  </si>
  <si>
    <t>Línea activa</t>
  </si>
  <si>
    <t>Pestaña Real</t>
  </si>
  <si>
    <t>Pestaña Presupuesto</t>
  </si>
  <si>
    <t>Pestaña Var $</t>
  </si>
  <si>
    <t>Pestaña Var %</t>
  </si>
  <si>
    <t>Pestaña es gasto/costo</t>
  </si>
  <si>
    <t>Pestaña favorable</t>
  </si>
  <si>
    <t>Píldora favorable</t>
  </si>
  <si>
    <t>Píldora desfavorable</t>
  </si>
  <si>
    <t>Total línea (título)</t>
  </si>
  <si>
    <t>Presupuesto de la línea (texto)</t>
  </si>
  <si>
    <t>Subtítulo tablero</t>
  </si>
  <si>
    <t>Narrativa cascada</t>
  </si>
  <si>
    <t>Footer rubros</t>
  </si>
  <si>
    <t>Crecimiento ingresos</t>
  </si>
  <si>
    <t>Crecimiento utilidad neta</t>
  </si>
  <si>
    <t>Narrativa centro de costo</t>
  </si>
  <si>
    <t>Narrativa mensual</t>
  </si>
  <si>
    <t>Paso</t>
  </si>
  <si>
    <t>Cambio</t>
  </si>
  <si>
    <t>Nivel</t>
  </si>
  <si>
    <t>Base</t>
  </si>
  <si>
    <t>Sube</t>
  </si>
  <si>
    <t>Baja</t>
  </si>
  <si>
    <t>Total</t>
  </si>
  <si>
    <t>Utilidad 2026</t>
  </si>
  <si>
    <t>Ingresos</t>
  </si>
  <si>
    <t>Gastos operativos</t>
  </si>
  <si>
    <t>Financieros y otros</t>
  </si>
  <si>
    <t>Impuesto</t>
  </si>
  <si>
    <t>Utilidad 2027</t>
  </si>
  <si>
    <t>Etiqueta</t>
  </si>
  <si>
    <t>Soporte etiqueta</t>
  </si>
  <si>
    <t>Presupuesto 2027</t>
  </si>
  <si>
    <t>Ing R</t>
  </si>
  <si>
    <t>Ing P</t>
  </si>
  <si>
    <t>Costo R</t>
  </si>
  <si>
    <t>Costo P</t>
  </si>
  <si>
    <t>GOp R</t>
  </si>
  <si>
    <t>GOp P</t>
  </si>
  <si>
    <t>NoOp R</t>
  </si>
  <si>
    <t>NoOp P</t>
  </si>
  <si>
    <t>MARGEN BRUTO 2027</t>
  </si>
  <si>
    <t>MARGEN EBITDA 2027</t>
  </si>
  <si>
    <t>MARGEN NETO 2027</t>
  </si>
  <si>
    <t>GASTOS OPER. / INGRESOS 2027</t>
  </si>
  <si>
    <t>CUENTA</t>
  </si>
  <si>
    <t>CENTRO DE COSTO</t>
  </si>
  <si>
    <t>DRIVER</t>
  </si>
  <si>
    <t>REAL 2026</t>
  </si>
  <si>
    <t>PPTO 2027</t>
  </si>
  <si>
    <t>VAR $</t>
  </si>
  <si>
    <t>VAR %</t>
  </si>
  <si>
    <t>1 · PEGA TU REAL 2026</t>
  </si>
  <si>
    <t>Ve a la hoja PPTO 2027: es tu estado de resultados completo. Despliega los meses con el botón + del esquema; las celdas lila de Ene 26 a Dic 26 son tu real: reemplaza las cifras de ejemplo por las tuyas, cuenta por cuenta. Para agregar una cuenta, inserta una fila dentro de su bloque. Si el año no ha cerrado, usa real hasta el último cierre y un estimado para los meses que faltan. No incluyas el impuesto de renta: se calcula con la tasa de los supuestos.</t>
  </si>
  <si>
    <t>2 · DEFINE LOS SUPUESTOS, EN LA MISMA HOJA</t>
  </si>
  <si>
    <t>Arriba solo hay dos supuestos generales: IPC y aumento salarial (las cuentas indexadas y la nómina los toman solas). El resto va implícito en la columna Crec. 2027 de cada cuenta: ventas (volumen × precio), costo de mercancía, deuda, una campaña o un recorte. La tasa de renta está en la fila Impuesto de renta. El presupuesto de cada mes es el mismo mes del 2026 por su crecimiento: conserva la estacionalidad.</t>
  </si>
  <si>
    <t>3 · SENSIBILIZA SIN SALIR DE LA HOJA</t>
  </si>
  <si>
    <t>Todo se recalcula al instante. A la derecha de cada cuenta, subtotal y margen ves la variación del año y de cada trimestre (en pesos y en %), con barras, la tendencia mes a mes y el peso sobre los ingresos. Verde = mejora, rojo = empeora: en ingresos y utilidades, subir es verde; en costos y gastos, subir es rojo.</t>
  </si>
  <si>
    <t>4 · LEE EL TABLERO</t>
  </si>
  <si>
    <t>Las pestañas cambian la línea del P&amp;G en la tarjeta y en el gráfico mes a mes. La cascada muestra qué bloque explica el salto de utilidad y el Estado de resultados completo aparece como imagen vinculada. Las tablas de cuentas y centros de costo son tablas dinámicas: se actualizan al abrir el archivo o con Datos &gt; Actualizar todo.</t>
  </si>
  <si>
    <t>5 · HAZLE SEGUIMIENTO AL AÑO</t>
  </si>
  <si>
    <t>En la hoja Seguimiento pega tu real 2027 mes a mes (hoy trae cifras sintéticas de ejemplo) y elige el mes de corte. Verás el acumulado real contra el presupuesto de ese mismo periodo, por cuenta y por bloque del P&amp;G, con semáforo. El resumen también sale en el tablero.</t>
  </si>
  <si>
    <t>LÍNEAS QUE RECONOCE EL TABLERO</t>
  </si>
  <si>
    <t>Ingresos operacionales, Costo de ventas, Gastos de administración, Gastos de ventas, Gastos financieros, Otros ingresos no operacionales y Otros gastos no operacionales. Usa esos nombres exactos en la columna Línea. Los centros de costo son libres. Si agregas o quitas cuentas, hazlo igual en la tabla de Seguimiento.</t>
  </si>
  <si>
    <t>¿NECESITAS UN MODELO A LA MEDIDA?</t>
  </si>
  <si>
    <t>Este es un modelo PREMIUM, no uno de los paquetes de 5.000 plantillas genéricas que circulan hoy y que al final ninguna sirve. Diseño modelos, tableros y automatizaciones a la medida de tu negocio, y acompaño a juntas y dueños con consultoría financiera. Escríbeme por LinkedIn: linkedin.com/in/mauricio-escobar-bernales</t>
  </si>
  <si>
    <t>Hecho por Mauricio Escobar · arquitecto de decisiones financieras. Empresa y datos de ejemplo, ficticios.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</si>
</sst>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0.0%"/>
    <numFmt numFmtId="165" formatCode="#,##0,,;\-#,##0,,;&quot;-&quot;"/>
    <numFmt numFmtId="166" formatCode="\+#,##0,,;\-#,##0,,;&quot;-&quot;"/>
    <numFmt numFmtId="167" formatCode="\+0.0%;\-0.0%;0.0%"/>
    <numFmt numFmtId="168" formatCode="\+0.0;\-0.0;0.0"/>
    <numFmt numFmtId="169" formatCode="\+0.0&quot; pp&quot;;\-0.0&quot; pp&quot;;0.0&quot; pp&quot;"/>
    <numFmt numFmtId="170" formatCode="dd/mm/yyyy"/>
    <numFmt numFmtId="171" formatCode="\+0.0%;\-0.0%"/>
    <numFmt numFmtId="172" formatCode="\+0.0&quot; pp&quot;;\-0.0&quot; pp&quot;"/>
    <numFmt numFmtId="173" formatCode="\+0%;\-0%"/>
    <numFmt numFmtId="174" formatCode="#,##0;\-#,##0;&quot;-&quot;"/>
  </numFmts>
  <fonts count="25" x14ac:knownFonts="1">
    <font>
      <sz val="11"/>
      <color theme="1"/>
      <name val="Aptos Narrow"/>
      <family val="2"/>
      <scheme val="minor"/>
    </font>
    <font>
      <sz val="9"/>
      <color theme="1"/>
      <name val="Segoe UI"/>
      <family val="2"/>
    </font>
    <font>
      <sz val="9"/>
      <color rgb="FF14110C"/>
      <name val="Segoe UI"/>
      <family val="2"/>
    </font>
    <font>
      <sz val="9"/>
      <color rgb="FF6E675C"/>
      <name val="Segoe UI"/>
      <family val="2"/>
    </font>
    <font>
      <u/>
      <sz val="11"/>
      <color theme="10"/>
      <name val="Aptos Narrow"/>
      <family val="2"/>
      <scheme val="minor"/>
    </font>
    <font>
      <b/>
      <sz val="9"/>
      <color rgb="FF14110C"/>
      <name val="Segoe UI"/>
      <family val="2"/>
    </font>
    <font>
      <b/>
      <sz val="9"/>
      <color rgb="FF8F6410"/>
      <name val="Segoe UI"/>
      <family val="2"/>
    </font>
    <font>
      <sz val="8"/>
      <color rgb="FF6E675C"/>
      <name val="Segoe UI"/>
      <family val="2"/>
    </font>
    <font>
      <b/>
      <sz val="9"/>
      <color rgb="FFFFFFFF"/>
      <name val="Segoe UI"/>
      <family val="2"/>
    </font>
    <font>
      <i/>
      <sz val="9"/>
      <color rgb="FF6E675C"/>
      <name val="Segoe UI"/>
      <family val="2"/>
    </font>
    <font>
      <b/>
      <i/>
      <sz val="9"/>
      <color rgb="FF6E675C"/>
      <name val="Segoe UI"/>
      <family val="2"/>
    </font>
    <font>
      <sz val="9"/>
      <color rgb="FFF6F1E4"/>
      <name val="Segoe UI"/>
      <family val="2"/>
    </font>
    <font>
      <b/>
      <sz val="9"/>
      <color rgb="FF6E675C"/>
      <name val="Segoe UI"/>
      <family val="2"/>
    </font>
    <font>
      <u/>
      <sz val="9"/>
      <color rgb="FF0E4D5C"/>
      <name val="Segoe UI"/>
      <family val="2"/>
    </font>
    <font>
      <b/>
      <sz val="9"/>
      <color theme="1"/>
      <name val="Segoe UI"/>
      <family val="2"/>
    </font>
    <font>
      <b/>
      <sz val="7.5"/>
      <color rgb="FF6E675C"/>
      <name val="Segoe UI"/>
      <family val="2"/>
    </font>
    <font>
      <b/>
      <sz val="12"/>
      <color rgb="FF14110C"/>
      <name val="Consolas"/>
      <family val="3"/>
    </font>
    <font>
      <sz val="7.5"/>
      <color rgb="FF6E675C"/>
      <name val="Segoe UI"/>
      <family val="2"/>
    </font>
    <font>
      <b/>
      <sz val="7"/>
      <color rgb="FF6E675C"/>
      <name val="Segoe UI"/>
      <family val="2"/>
    </font>
    <font>
      <b/>
      <sz val="8"/>
      <color rgb="FF14110C"/>
      <name val="Segoe UI"/>
      <family val="2"/>
    </font>
    <font>
      <sz val="8"/>
      <color rgb="FF14110C"/>
      <name val="Consolas"/>
      <family val="3"/>
    </font>
    <font>
      <b/>
      <sz val="10"/>
      <color rgb="FF0E4D5C"/>
      <name val="Segoe UI"/>
      <family val="2"/>
    </font>
    <font>
      <sz val="9.5"/>
      <color rgb="FF14110C"/>
      <name val="Segoe UI"/>
      <family val="2"/>
    </font>
    <font>
      <sz val="9.5"/>
      <color rgb="FF14110C"/>
      <name val="Aptos Narrow"/>
      <family val="2"/>
      <scheme val="minor"/>
    </font>
    <font>
      <b/>
      <sz val="10"/>
      <color rgb="FF8F6410"/>
      <name val="Segoe UI"/>
      <family val="2"/>
    </font>
  </fonts>
  <fills count="10">
    <fill>
      <patternFill patternType="none"/>
    </fill>
    <fill>
      <patternFill patternType="gray125"/>
    </fill>
    <fill>
      <patternFill patternType="solid">
        <fgColor rgb="FFF6F1E4"/>
        <bgColor indexed="64"/>
      </patternFill>
    </fill>
    <fill>
      <patternFill patternType="solid">
        <fgColor rgb="FFE8E5FF"/>
        <bgColor indexed="64"/>
      </patternFill>
    </fill>
    <fill>
      <patternFill patternType="solid">
        <fgColor rgb="FF0E4D5C"/>
        <bgColor indexed="64"/>
      </patternFill>
    </fill>
    <fill>
      <patternFill patternType="solid">
        <fgColor rgb="FF8F6410"/>
        <bgColor indexed="64"/>
      </patternFill>
    </fill>
    <fill>
      <patternFill patternType="solid">
        <fgColor rgb="FFD6A44E"/>
        <bgColor indexed="64"/>
      </patternFill>
    </fill>
    <fill>
      <patternFill patternType="solid">
        <fgColor rgb="FFF1E8D6"/>
        <bgColor indexed="64"/>
      </patternFill>
    </fill>
    <fill>
      <patternFill patternType="solid">
        <fgColor rgb="FFFCF9F2"/>
        <bgColor indexed="64"/>
      </patternFill>
    </fill>
    <fill>
      <patternFill patternType="solid">
        <fgColor rgb="FFFFFDF8"/>
        <bgColor indexed="64"/>
      </patternFill>
    </fill>
  </fills>
  <borders count="12">
    <border>
      <left/>
      <right/>
      <top/>
      <bottom/>
      <diagonal/>
    </border>
    <border>
      <left/>
      <right/>
      <top/>
      <bottom style="thin">
        <color rgb="FFDCCFB4"/>
      </bottom>
      <diagonal/>
    </border>
    <border>
      <left/>
      <right/>
      <top style="thin">
        <color rgb="FFDCCFB4"/>
      </top>
      <bottom style="thin">
        <color rgb="FFDCCFB4"/>
      </bottom>
      <diagonal/>
    </border>
    <border>
      <left/>
      <right/>
      <top style="thin">
        <color rgb="FFDCCFB4"/>
      </top>
      <bottom/>
      <diagonal/>
    </border>
    <border>
      <left/>
      <right/>
      <top style="thin">
        <color rgb="FFDCCFB4"/>
      </top>
      <bottom style="medium">
        <color rgb="FFDCCFB4"/>
      </bottom>
      <diagonal/>
    </border>
    <border>
      <left/>
      <right/>
      <top style="thin">
        <color rgb="FFDCCFB4"/>
      </top>
      <bottom style="medium">
        <color rgb="FF8F6410"/>
      </bottom>
      <diagonal/>
    </border>
    <border>
      <left style="thin">
        <color rgb="FFDCCFB4"/>
      </left>
      <right/>
      <top/>
      <bottom/>
      <diagonal/>
    </border>
    <border>
      <left style="thin">
        <color rgb="FFDCCFB4"/>
      </left>
      <right/>
      <top/>
      <bottom style="thin">
        <color rgb="FFDCCFB4"/>
      </bottom>
      <diagonal/>
    </border>
    <border>
      <left/>
      <right style="thin">
        <color rgb="FFDCCFB4"/>
      </right>
      <top/>
      <bottom/>
      <diagonal/>
    </border>
    <border>
      <left style="thin">
        <color rgb="FFDCCFB4"/>
      </left>
      <right style="thin">
        <color rgb="FFDCCFB4"/>
      </right>
      <top/>
      <bottom/>
      <diagonal/>
    </border>
    <border>
      <left style="thin">
        <color rgb="FFDCCFB4"/>
      </left>
      <right style="thin">
        <color rgb="FFDCCFB4"/>
      </right>
      <top/>
      <bottom style="thin">
        <color rgb="FFDCCFB4"/>
      </bottom>
      <diagonal/>
    </border>
    <border>
      <left/>
      <right/>
      <top style="thin">
        <color rgb="FF8F6410"/>
      </top>
      <bottom style="thin">
        <color rgb="FFDCCFB4"/>
      </bottom>
      <diagonal/>
    </border>
  </borders>
  <cellStyleXfs count="2">
    <xf numFmtId="0" fontId="0" fillId="0" borderId="0"/>
    <xf numFmtId="0" fontId="4" fillId="0" borderId="0" applyNumberFormat="0" applyFill="0" applyBorder="0" applyAlignment="0" applyProtection="0"/>
  </cellStyleXfs>
  <cellXfs count="163">
    <xf numFmtId="0" fontId="0" fillId="0" borderId="0" xfId="0"/>
    <xf numFmtId="0" fontId="1" fillId="2" borderId="0" xfId="0" applyFont="1" applyFill="1"/>
    <xf numFmtId="0" fontId="2" fillId="2" borderId="0" xfId="0" applyFont="1" applyFill="1"/>
    <xf numFmtId="0" fontId="3" fillId="2" borderId="0" xfId="0" applyFont="1" applyFill="1"/>
    <xf numFmtId="0" fontId="5" fillId="2" borderId="0" xfId="0" applyFont="1" applyFill="1"/>
    <xf numFmtId="0" fontId="6" fillId="2" borderId="0" xfId="0" applyFont="1" applyFill="1"/>
    <xf numFmtId="0" fontId="7" fillId="2" borderId="0" xfId="0" applyFont="1" applyFill="1"/>
    <xf numFmtId="0" fontId="2" fillId="2" borderId="0" xfId="0" applyFont="1" applyFill="1" applyBorder="1"/>
    <xf numFmtId="164" fontId="5" fillId="3" borderId="0" xfId="0" applyNumberFormat="1" applyFont="1" applyFill="1" applyBorder="1" applyAlignment="1">
      <alignment horizontal="center"/>
    </xf>
    <xf numFmtId="0" fontId="2" fillId="2" borderId="2" xfId="0" applyFont="1" applyFill="1" applyBorder="1"/>
    <xf numFmtId="164" fontId="5" fillId="3" borderId="2" xfId="0" applyNumberFormat="1" applyFont="1" applyFill="1" applyBorder="1" applyAlignment="1">
      <alignment horizontal="center"/>
    </xf>
    <xf numFmtId="49" fontId="8" fillId="4" borderId="0" xfId="0" applyNumberFormat="1" applyFont="1" applyFill="1" applyAlignment="1">
      <alignment vertical="center" wrapText="1"/>
    </xf>
    <xf numFmtId="49" fontId="8" fillId="4" borderId="0" xfId="0" applyNumberFormat="1" applyFont="1" applyFill="1" applyAlignment="1">
      <alignment horizontal="center" vertical="center" wrapText="1"/>
    </xf>
    <xf numFmtId="49" fontId="8" fillId="2" borderId="0" xfId="0" applyNumberFormat="1" applyFont="1" applyFill="1" applyAlignment="1">
      <alignment horizontal="center" vertical="center" wrapText="1"/>
    </xf>
    <xf numFmtId="0" fontId="2" fillId="3" borderId="0" xfId="0" applyFont="1" applyFill="1"/>
    <xf numFmtId="0" fontId="2" fillId="3" borderId="0" xfId="0" applyFont="1" applyFill="1" applyBorder="1" applyAlignment="1">
      <alignment horizontal="left" indent="1"/>
    </xf>
    <xf numFmtId="0" fontId="2" fillId="3" borderId="0" xfId="0" applyFont="1" applyFill="1" applyBorder="1"/>
    <xf numFmtId="165" fontId="2" fillId="3" borderId="0" xfId="0" applyNumberFormat="1" applyFont="1" applyFill="1" applyBorder="1"/>
    <xf numFmtId="165" fontId="2" fillId="2" borderId="0" xfId="0" applyNumberFormat="1" applyFont="1" applyFill="1" applyBorder="1"/>
    <xf numFmtId="166" fontId="2" fillId="2" borderId="0" xfId="0" applyNumberFormat="1" applyFont="1" applyFill="1" applyBorder="1"/>
    <xf numFmtId="167" fontId="2" fillId="2" borderId="0" xfId="0" applyNumberFormat="1" applyFont="1" applyFill="1" applyBorder="1"/>
    <xf numFmtId="164" fontId="2" fillId="2" borderId="0" xfId="0" applyNumberFormat="1" applyFont="1" applyFill="1" applyBorder="1"/>
    <xf numFmtId="168" fontId="2" fillId="2" borderId="0" xfId="0" applyNumberFormat="1" applyFont="1" applyFill="1" applyBorder="1"/>
    <xf numFmtId="166" fontId="2" fillId="2" borderId="2" xfId="0" applyNumberFormat="1" applyFont="1" applyFill="1" applyBorder="1"/>
    <xf numFmtId="167" fontId="2" fillId="2" borderId="2" xfId="0" applyNumberFormat="1" applyFont="1" applyFill="1" applyBorder="1"/>
    <xf numFmtId="164" fontId="2" fillId="2" borderId="2" xfId="0" applyNumberFormat="1" applyFont="1" applyFill="1" applyBorder="1"/>
    <xf numFmtId="168" fontId="2" fillId="2" borderId="2" xfId="0" applyNumberFormat="1" applyFont="1" applyFill="1" applyBorder="1"/>
    <xf numFmtId="0" fontId="2" fillId="3" borderId="3" xfId="0" applyFont="1" applyFill="1" applyBorder="1" applyAlignment="1">
      <alignment horizontal="left" indent="1"/>
    </xf>
    <xf numFmtId="0" fontId="2" fillId="3" borderId="3" xfId="0" applyFont="1" applyFill="1" applyBorder="1"/>
    <xf numFmtId="0" fontId="2" fillId="2" borderId="3" xfId="0" applyFont="1" applyFill="1" applyBorder="1"/>
    <xf numFmtId="165" fontId="2" fillId="3" borderId="3" xfId="0" applyNumberFormat="1" applyFont="1" applyFill="1" applyBorder="1"/>
    <xf numFmtId="165" fontId="2" fillId="2" borderId="3" xfId="0" applyNumberFormat="1" applyFont="1" applyFill="1" applyBorder="1"/>
    <xf numFmtId="166" fontId="2" fillId="2" borderId="3" xfId="0" applyNumberFormat="1" applyFont="1" applyFill="1" applyBorder="1"/>
    <xf numFmtId="167" fontId="2" fillId="2" borderId="3" xfId="0" applyNumberFormat="1" applyFont="1" applyFill="1" applyBorder="1"/>
    <xf numFmtId="164" fontId="2" fillId="2" borderId="3" xfId="0" applyNumberFormat="1" applyFont="1" applyFill="1" applyBorder="1"/>
    <xf numFmtId="168" fontId="2" fillId="2" borderId="3" xfId="0" applyNumberFormat="1" applyFont="1" applyFill="1" applyBorder="1"/>
    <xf numFmtId="0" fontId="5" fillId="2" borderId="2" xfId="0" applyFont="1" applyFill="1" applyBorder="1"/>
    <xf numFmtId="165" fontId="5" fillId="2" borderId="2" xfId="0" applyNumberFormat="1" applyFont="1" applyFill="1" applyBorder="1"/>
    <xf numFmtId="0" fontId="5" fillId="2" borderId="3" xfId="0" applyFont="1" applyFill="1" applyBorder="1"/>
    <xf numFmtId="165" fontId="5" fillId="2" borderId="3" xfId="0" applyNumberFormat="1" applyFont="1" applyFill="1" applyBorder="1"/>
    <xf numFmtId="0" fontId="5" fillId="7" borderId="2" xfId="0" applyFont="1" applyFill="1" applyBorder="1"/>
    <xf numFmtId="0" fontId="2" fillId="7" borderId="2" xfId="0" applyFont="1" applyFill="1" applyBorder="1"/>
    <xf numFmtId="165" fontId="5" fillId="7" borderId="2" xfId="0" applyNumberFormat="1" applyFont="1" applyFill="1" applyBorder="1"/>
    <xf numFmtId="166" fontId="2" fillId="7" borderId="2" xfId="0" applyNumberFormat="1" applyFont="1" applyFill="1" applyBorder="1"/>
    <xf numFmtId="167" fontId="2" fillId="7" borderId="2" xfId="0" applyNumberFormat="1" applyFont="1" applyFill="1" applyBorder="1"/>
    <xf numFmtId="164" fontId="2" fillId="7" borderId="2" xfId="0" applyNumberFormat="1" applyFont="1" applyFill="1" applyBorder="1"/>
    <xf numFmtId="168" fontId="2" fillId="7" borderId="2" xfId="0" applyNumberFormat="1" applyFont="1" applyFill="1" applyBorder="1"/>
    <xf numFmtId="0" fontId="9" fillId="2" borderId="0" xfId="0" applyFont="1" applyFill="1"/>
    <xf numFmtId="164" fontId="9" fillId="2" borderId="0" xfId="0" applyNumberFormat="1" applyFont="1" applyFill="1"/>
    <xf numFmtId="169" fontId="9" fillId="2" borderId="0" xfId="0" applyNumberFormat="1" applyFont="1" applyFill="1"/>
    <xf numFmtId="0" fontId="9" fillId="2" borderId="0" xfId="0" applyFont="1" applyFill="1" applyAlignment="1">
      <alignment horizontal="left" indent="1"/>
    </xf>
    <xf numFmtId="0" fontId="5" fillId="7" borderId="1" xfId="0" applyFont="1" applyFill="1" applyBorder="1"/>
    <xf numFmtId="0" fontId="2" fillId="7" borderId="1" xfId="0" applyFont="1" applyFill="1" applyBorder="1"/>
    <xf numFmtId="165" fontId="5" fillId="7" borderId="1" xfId="0" applyNumberFormat="1" applyFont="1" applyFill="1" applyBorder="1"/>
    <xf numFmtId="166" fontId="2" fillId="7" borderId="1" xfId="0" applyNumberFormat="1" applyFont="1" applyFill="1" applyBorder="1"/>
    <xf numFmtId="167" fontId="2" fillId="7" borderId="1" xfId="0" applyNumberFormat="1" applyFont="1" applyFill="1" applyBorder="1"/>
    <xf numFmtId="164" fontId="2" fillId="7" borderId="1" xfId="0" applyNumberFormat="1" applyFont="1" applyFill="1" applyBorder="1"/>
    <xf numFmtId="168" fontId="2" fillId="7" borderId="1" xfId="0" applyNumberFormat="1" applyFont="1" applyFill="1" applyBorder="1"/>
    <xf numFmtId="0" fontId="5" fillId="7" borderId="3" xfId="0" applyFont="1" applyFill="1" applyBorder="1"/>
    <xf numFmtId="165" fontId="5" fillId="7" borderId="3" xfId="0" applyNumberFormat="1" applyFont="1" applyFill="1" applyBorder="1"/>
    <xf numFmtId="0" fontId="2" fillId="7" borderId="3" xfId="0" applyFont="1" applyFill="1" applyBorder="1"/>
    <xf numFmtId="166" fontId="2" fillId="7" borderId="3" xfId="0" applyNumberFormat="1" applyFont="1" applyFill="1" applyBorder="1"/>
    <xf numFmtId="167" fontId="2" fillId="7" borderId="3" xfId="0" applyNumberFormat="1" applyFont="1" applyFill="1" applyBorder="1"/>
    <xf numFmtId="164" fontId="2" fillId="7" borderId="3" xfId="0" applyNumberFormat="1" applyFont="1" applyFill="1" applyBorder="1"/>
    <xf numFmtId="168" fontId="2" fillId="7" borderId="3" xfId="0" applyNumberFormat="1" applyFont="1" applyFill="1" applyBorder="1"/>
    <xf numFmtId="0" fontId="3" fillId="2" borderId="3" xfId="0" applyFont="1" applyFill="1" applyBorder="1"/>
    <xf numFmtId="164" fontId="2" fillId="3" borderId="3" xfId="0" applyNumberFormat="1" applyFont="1" applyFill="1" applyBorder="1"/>
    <xf numFmtId="0" fontId="5" fillId="7" borderId="4" xfId="0" applyFont="1" applyFill="1" applyBorder="1"/>
    <xf numFmtId="0" fontId="2" fillId="7" borderId="4" xfId="0" applyFont="1" applyFill="1" applyBorder="1"/>
    <xf numFmtId="165" fontId="5" fillId="7" borderId="4" xfId="0" applyNumberFormat="1" applyFont="1" applyFill="1" applyBorder="1"/>
    <xf numFmtId="166" fontId="2" fillId="7" borderId="4" xfId="0" applyNumberFormat="1" applyFont="1" applyFill="1" applyBorder="1"/>
    <xf numFmtId="167" fontId="2" fillId="7" borderId="4" xfId="0" applyNumberFormat="1" applyFont="1" applyFill="1" applyBorder="1"/>
    <xf numFmtId="164" fontId="2" fillId="7" borderId="4" xfId="0" applyNumberFormat="1" applyFont="1" applyFill="1" applyBorder="1"/>
    <xf numFmtId="168" fontId="2" fillId="7" borderId="4" xfId="0" applyNumberFormat="1" applyFont="1" applyFill="1" applyBorder="1"/>
    <xf numFmtId="167" fontId="2" fillId="2" borderId="0" xfId="0" applyNumberFormat="1" applyFont="1" applyFill="1"/>
    <xf numFmtId="167" fontId="2" fillId="3" borderId="0" xfId="0" applyNumberFormat="1" applyFont="1" applyFill="1" applyBorder="1"/>
    <xf numFmtId="167" fontId="2" fillId="3" borderId="3" xfId="0" applyNumberFormat="1" applyFont="1" applyFill="1" applyBorder="1"/>
    <xf numFmtId="167" fontId="5" fillId="2" borderId="2" xfId="0" applyNumberFormat="1" applyFont="1" applyFill="1" applyBorder="1"/>
    <xf numFmtId="167" fontId="5" fillId="2" borderId="3" xfId="0" applyNumberFormat="1" applyFont="1" applyFill="1" applyBorder="1"/>
    <xf numFmtId="167" fontId="5" fillId="7" borderId="2" xfId="0" applyNumberFormat="1" applyFont="1" applyFill="1" applyBorder="1"/>
    <xf numFmtId="167" fontId="9" fillId="2" borderId="0" xfId="0" applyNumberFormat="1" applyFont="1" applyFill="1"/>
    <xf numFmtId="167" fontId="5" fillId="7" borderId="1" xfId="0" applyNumberFormat="1" applyFont="1" applyFill="1" applyBorder="1"/>
    <xf numFmtId="167" fontId="5" fillId="7" borderId="3" xfId="0" applyNumberFormat="1" applyFont="1" applyFill="1" applyBorder="1"/>
    <xf numFmtId="167" fontId="5" fillId="7" borderId="4" xfId="0" applyNumberFormat="1" applyFont="1" applyFill="1" applyBorder="1"/>
    <xf numFmtId="165" fontId="5" fillId="2" borderId="0" xfId="0" applyNumberFormat="1" applyFont="1" applyFill="1" applyBorder="1"/>
    <xf numFmtId="164" fontId="10" fillId="2" borderId="0" xfId="0" applyNumberFormat="1" applyFont="1" applyFill="1"/>
    <xf numFmtId="0" fontId="5" fillId="3" borderId="0" xfId="0" applyFont="1" applyFill="1" applyAlignment="1">
      <alignment horizontal="center"/>
    </xf>
    <xf numFmtId="0" fontId="11" fillId="2" borderId="0" xfId="0" applyFont="1" applyFill="1"/>
    <xf numFmtId="170" fontId="11" fillId="2" borderId="0" xfId="0" applyNumberFormat="1" applyFont="1" applyFill="1"/>
    <xf numFmtId="165" fontId="2" fillId="3" borderId="0" xfId="0" applyNumberFormat="1" applyFont="1" applyFill="1"/>
    <xf numFmtId="165" fontId="2" fillId="2" borderId="0" xfId="0" applyNumberFormat="1" applyFont="1" applyFill="1"/>
    <xf numFmtId="0" fontId="8" fillId="4" borderId="0" xfId="0" applyFont="1" applyFill="1"/>
    <xf numFmtId="0" fontId="8" fillId="4" borderId="0" xfId="0" applyFont="1" applyFill="1" applyAlignment="1">
      <alignment horizontal="right"/>
    </xf>
    <xf numFmtId="0" fontId="5" fillId="8" borderId="2" xfId="0" applyFont="1" applyFill="1" applyBorder="1"/>
    <xf numFmtId="165" fontId="5" fillId="8" borderId="2" xfId="0" applyNumberFormat="1" applyFont="1" applyFill="1" applyBorder="1"/>
    <xf numFmtId="167" fontId="5" fillId="8" borderId="2" xfId="0" applyNumberFormat="1" applyFont="1" applyFill="1" applyBorder="1"/>
    <xf numFmtId="0" fontId="5" fillId="8" borderId="5" xfId="0" applyFont="1" applyFill="1" applyBorder="1"/>
    <xf numFmtId="37" fontId="2" fillId="2" borderId="0" xfId="0" applyNumberFormat="1" applyFont="1" applyFill="1" applyBorder="1"/>
    <xf numFmtId="37" fontId="2" fillId="2" borderId="3" xfId="0" applyNumberFormat="1" applyFont="1" applyFill="1" applyBorder="1"/>
    <xf numFmtId="37" fontId="5" fillId="2" borderId="3" xfId="0" applyNumberFormat="1" applyFont="1" applyFill="1" applyBorder="1"/>
    <xf numFmtId="37" fontId="5" fillId="8" borderId="5" xfId="0" applyNumberFormat="1" applyFont="1" applyFill="1" applyBorder="1"/>
    <xf numFmtId="171" fontId="2" fillId="2" borderId="0" xfId="0" applyNumberFormat="1" applyFont="1" applyFill="1" applyBorder="1"/>
    <xf numFmtId="171" fontId="2" fillId="2" borderId="3" xfId="0" applyNumberFormat="1" applyFont="1" applyFill="1" applyBorder="1"/>
    <xf numFmtId="171" fontId="5" fillId="2" borderId="3" xfId="0" applyNumberFormat="1" applyFont="1" applyFill="1" applyBorder="1"/>
    <xf numFmtId="171" fontId="5" fillId="8" borderId="5" xfId="0" applyNumberFormat="1" applyFont="1" applyFill="1" applyBorder="1"/>
    <xf numFmtId="0" fontId="12" fillId="2" borderId="0" xfId="0" applyFont="1" applyFill="1"/>
    <xf numFmtId="0" fontId="3" fillId="2" borderId="0" xfId="0" applyFont="1" applyFill="1" applyAlignment="1">
      <alignment horizontal="right"/>
    </xf>
    <xf numFmtId="172" fontId="2" fillId="2" borderId="0" xfId="0" applyNumberFormat="1" applyFont="1" applyFill="1" applyBorder="1"/>
    <xf numFmtId="172" fontId="2" fillId="2" borderId="2" xfId="0" applyNumberFormat="1" applyFont="1" applyFill="1" applyBorder="1"/>
    <xf numFmtId="172" fontId="2" fillId="2" borderId="3" xfId="0" applyNumberFormat="1" applyFont="1" applyFill="1" applyBorder="1"/>
    <xf numFmtId="0" fontId="8" fillId="4" borderId="0" xfId="0" applyFont="1" applyFill="1" applyAlignment="1">
      <alignment horizontal="center"/>
    </xf>
    <xf numFmtId="0" fontId="2" fillId="2" borderId="0" xfId="0" applyFont="1" applyFill="1" applyAlignment="1">
      <alignment horizontal="center"/>
    </xf>
    <xf numFmtId="0" fontId="2" fillId="2" borderId="0" xfId="0" applyFont="1" applyFill="1" applyBorder="1" applyAlignment="1">
      <alignment vertical="center"/>
    </xf>
    <xf numFmtId="171" fontId="2" fillId="2" borderId="0" xfId="0" applyNumberFormat="1" applyFont="1" applyFill="1" applyBorder="1" applyAlignment="1">
      <alignment vertical="center"/>
    </xf>
    <xf numFmtId="0" fontId="2" fillId="2" borderId="2" xfId="0" applyFont="1" applyFill="1" applyBorder="1" applyAlignment="1">
      <alignment vertical="center"/>
    </xf>
    <xf numFmtId="171" fontId="2" fillId="2" borderId="2" xfId="0" applyNumberFormat="1" applyFont="1" applyFill="1" applyBorder="1" applyAlignment="1">
      <alignment vertical="center"/>
    </xf>
    <xf numFmtId="0" fontId="2" fillId="2" borderId="3" xfId="0" applyFont="1" applyFill="1" applyBorder="1" applyAlignment="1">
      <alignment vertical="center"/>
    </xf>
    <xf numFmtId="171" fontId="2" fillId="2" borderId="3" xfId="0" applyNumberFormat="1" applyFont="1" applyFill="1" applyBorder="1" applyAlignment="1">
      <alignment vertical="center"/>
    </xf>
    <xf numFmtId="3" fontId="2" fillId="2" borderId="0" xfId="0" applyNumberFormat="1" applyFont="1" applyFill="1" applyBorder="1" applyAlignment="1">
      <alignment vertical="center"/>
    </xf>
    <xf numFmtId="3" fontId="2" fillId="2" borderId="3" xfId="0" applyNumberFormat="1" applyFont="1" applyFill="1" applyBorder="1" applyAlignment="1">
      <alignment vertical="center"/>
    </xf>
    <xf numFmtId="3" fontId="2" fillId="2" borderId="2" xfId="0" applyNumberFormat="1" applyFont="1" applyFill="1" applyBorder="1" applyAlignment="1">
      <alignment vertical="center"/>
    </xf>
    <xf numFmtId="173" fontId="2" fillId="2" borderId="0" xfId="0" applyNumberFormat="1" applyFont="1" applyFill="1" applyBorder="1" applyAlignment="1">
      <alignment horizontal="center" vertical="center"/>
    </xf>
    <xf numFmtId="173" fontId="2" fillId="2" borderId="3" xfId="0" applyNumberFormat="1" applyFont="1" applyFill="1" applyBorder="1" applyAlignment="1">
      <alignment horizontal="center" vertical="center"/>
    </xf>
    <xf numFmtId="173" fontId="2" fillId="2" borderId="2" xfId="0" applyNumberFormat="1" applyFont="1" applyFill="1" applyBorder="1" applyAlignment="1">
      <alignment horizontal="center" vertical="center"/>
    </xf>
    <xf numFmtId="0" fontId="1" fillId="0" borderId="0" xfId="0" applyFont="1"/>
    <xf numFmtId="0" fontId="13" fillId="2" borderId="0" xfId="1" applyFont="1" applyFill="1"/>
    <xf numFmtId="0" fontId="14" fillId="2" borderId="0" xfId="0" applyFont="1" applyFill="1"/>
    <xf numFmtId="0" fontId="0" fillId="0" borderId="0" xfId="0" pivotButton="1"/>
    <xf numFmtId="174" fontId="0" fillId="0" borderId="0" xfId="0" applyNumberFormat="1"/>
    <xf numFmtId="174" fontId="1" fillId="2" borderId="0" xfId="0" applyNumberFormat="1" applyFont="1" applyFill="1"/>
    <xf numFmtId="164" fontId="1" fillId="2" borderId="0" xfId="0" applyNumberFormat="1" applyFont="1" applyFill="1"/>
    <xf numFmtId="0" fontId="1" fillId="5" borderId="0" xfId="0" applyFont="1" applyFill="1" applyBorder="1"/>
    <xf numFmtId="0" fontId="15" fillId="9" borderId="6" xfId="0" applyFont="1" applyFill="1" applyBorder="1" applyAlignment="1">
      <alignment horizontal="left" indent="1"/>
    </xf>
    <xf numFmtId="164" fontId="16" fillId="9" borderId="6" xfId="0" applyNumberFormat="1" applyFont="1" applyFill="1" applyBorder="1" applyAlignment="1">
      <alignment horizontal="left" vertical="center" indent="1"/>
    </xf>
    <xf numFmtId="0" fontId="17" fillId="9" borderId="7" xfId="0" applyFont="1" applyFill="1" applyBorder="1" applyAlignment="1">
      <alignment horizontal="left" vertical="top" indent="1"/>
    </xf>
    <xf numFmtId="0" fontId="1" fillId="5" borderId="6" xfId="0" applyFont="1" applyFill="1" applyBorder="1"/>
    <xf numFmtId="0" fontId="1" fillId="5" borderId="8" xfId="0" applyFont="1" applyFill="1" applyBorder="1"/>
    <xf numFmtId="0" fontId="15" fillId="9" borderId="9" xfId="0" applyFont="1" applyFill="1" applyBorder="1" applyAlignment="1">
      <alignment horizontal="left" indent="1"/>
    </xf>
    <xf numFmtId="164" fontId="16" fillId="9" borderId="9" xfId="0" applyNumberFormat="1" applyFont="1" applyFill="1" applyBorder="1" applyAlignment="1">
      <alignment horizontal="left" vertical="center" indent="1"/>
    </xf>
    <xf numFmtId="0" fontId="17" fillId="9" borderId="10" xfId="0" applyFont="1" applyFill="1" applyBorder="1" applyAlignment="1">
      <alignment horizontal="left" vertical="top" indent="1"/>
    </xf>
    <xf numFmtId="0" fontId="18" fillId="7" borderId="0" xfId="0" applyFont="1" applyFill="1" applyBorder="1" applyAlignment="1">
      <alignment horizontal="right" vertical="center"/>
    </xf>
    <xf numFmtId="174" fontId="20" fillId="9" borderId="11" xfId="0" applyNumberFormat="1" applyFont="1" applyFill="1" applyBorder="1" applyAlignment="1">
      <alignment horizontal="right" vertical="center"/>
    </xf>
    <xf numFmtId="164" fontId="20" fillId="9" borderId="11" xfId="0" applyNumberFormat="1" applyFont="1" applyFill="1" applyBorder="1" applyAlignment="1">
      <alignment horizontal="right" vertical="center"/>
    </xf>
    <xf numFmtId="174" fontId="20" fillId="9" borderId="2" xfId="0" applyNumberFormat="1" applyFont="1" applyFill="1" applyBorder="1" applyAlignment="1">
      <alignment horizontal="right" vertical="center"/>
    </xf>
    <xf numFmtId="164" fontId="20" fillId="9" borderId="2" xfId="0" applyNumberFormat="1" applyFont="1" applyFill="1" applyBorder="1" applyAlignment="1">
      <alignment horizontal="right" vertical="center"/>
    </xf>
    <xf numFmtId="174" fontId="20" fillId="9" borderId="3" xfId="0" applyNumberFormat="1" applyFont="1" applyFill="1" applyBorder="1" applyAlignment="1">
      <alignment horizontal="right" vertical="center"/>
    </xf>
    <xf numFmtId="164" fontId="20" fillId="9" borderId="3" xfId="0" applyNumberFormat="1" applyFont="1" applyFill="1" applyBorder="1" applyAlignment="1">
      <alignment horizontal="right" vertical="center"/>
    </xf>
    <xf numFmtId="0" fontId="18" fillId="7" borderId="0" xfId="0" applyFont="1" applyFill="1" applyBorder="1" applyAlignment="1">
      <alignment horizontal="left" vertical="center" indent="1"/>
    </xf>
    <xf numFmtId="0" fontId="19" fillId="9" borderId="11" xfId="0" applyFont="1" applyFill="1" applyBorder="1" applyAlignment="1">
      <alignment horizontal="left" vertical="center" indent="1"/>
    </xf>
    <xf numFmtId="0" fontId="19" fillId="9" borderId="2" xfId="0" applyFont="1" applyFill="1" applyBorder="1" applyAlignment="1">
      <alignment horizontal="left" vertical="center" indent="1"/>
    </xf>
    <xf numFmtId="0" fontId="19" fillId="9" borderId="3" xfId="0" applyFont="1" applyFill="1" applyBorder="1" applyAlignment="1">
      <alignment horizontal="left" vertical="center" indent="1"/>
    </xf>
    <xf numFmtId="0" fontId="17" fillId="9" borderId="11" xfId="0" applyFont="1" applyFill="1" applyBorder="1" applyAlignment="1">
      <alignment horizontal="left" vertical="center" indent="1"/>
    </xf>
    <xf numFmtId="0" fontId="17" fillId="9" borderId="2" xfId="0" applyFont="1" applyFill="1" applyBorder="1" applyAlignment="1">
      <alignment horizontal="left" vertical="center" indent="1"/>
    </xf>
    <xf numFmtId="0" fontId="17" fillId="9" borderId="3" xfId="0" applyFont="1" applyFill="1" applyBorder="1" applyAlignment="1">
      <alignment horizontal="left" vertical="center" indent="1"/>
    </xf>
    <xf numFmtId="0" fontId="21" fillId="2" borderId="0" xfId="0" applyFont="1" applyFill="1"/>
    <xf numFmtId="0" fontId="22" fillId="2" borderId="0" xfId="0" applyFont="1" applyFill="1" applyAlignment="1">
      <alignment vertical="top" wrapText="1"/>
    </xf>
    <xf numFmtId="0" fontId="23" fillId="2" borderId="0" xfId="1" applyFont="1" applyFill="1" applyAlignment="1">
      <alignment vertical="top" wrapText="1"/>
    </xf>
    <xf numFmtId="0" fontId="24" fillId="2" borderId="0" xfId="0" applyFont="1" applyFill="1"/>
    <xf numFmtId="0" fontId="8" fillId="5" borderId="0" xfId="0" applyFont="1" applyFill="1" applyAlignment="1">
      <alignment horizontal="right"/>
    </xf>
    <xf numFmtId="0" fontId="8" fillId="4" borderId="0" xfId="0" applyFont="1" applyFill="1" applyAlignment="1">
      <alignment horizontal="right"/>
    </xf>
    <xf numFmtId="0" fontId="8" fillId="6" borderId="0" xfId="0" applyFont="1" applyFill="1" applyAlignment="1">
      <alignment horizontal="left"/>
    </xf>
    <xf numFmtId="0" fontId="3" fillId="2" borderId="0" xfId="0" applyFont="1" applyFill="1" applyAlignment="1">
      <alignment vertical="top" wrapText="1"/>
    </xf>
    <xf numFmtId="0" fontId="2" fillId="2" borderId="0" xfId="0" applyFont="1" applyFill="1" applyAlignment="1">
      <alignment vertical="top" wrapText="1"/>
    </xf>
  </cellXfs>
  <cellStyles count="2">
    <cellStyle name="Hipervínculo" xfId="1" builtinId="8"/>
    <cellStyle name="Normal" xfId="0" builtinId="0"/>
  </cellStyles>
  <dxfs count="115">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color rgb="FF14776B"/>
      </font>
    </dxf>
    <dxf>
      <font>
        <color rgb="FF9C5142"/>
      </font>
    </dxf>
    <dxf>
      <font>
        <b val="0"/>
        <i val="0"/>
        <strike val="0"/>
        <outline val="0"/>
        <shadow val="0"/>
        <u val="none"/>
        <vertAlign val="baseline"/>
        <sz val="9"/>
        <color theme="1"/>
        <name val="Segoe UI"/>
        <family val="2"/>
        <scheme val="none"/>
      </font>
    </dxf>
    <dxf>
      <font>
        <b val="0"/>
        <i val="0"/>
        <strike val="0"/>
        <outline val="0"/>
        <shadow val="0"/>
        <u val="none"/>
        <vertAlign val="baseline"/>
        <sz val="9"/>
        <color theme="1"/>
        <name val="Segoe UI"/>
        <family val="2"/>
        <scheme val="none"/>
      </font>
    </dxf>
    <dxf>
      <font>
        <b val="0"/>
        <i val="0"/>
        <strike val="0"/>
        <outline val="0"/>
        <shadow val="0"/>
        <u val="none"/>
        <vertAlign val="baseline"/>
        <sz val="9"/>
        <color theme="1"/>
        <name val="Segoe UI"/>
        <family val="2"/>
        <scheme val="none"/>
      </font>
    </dxf>
    <dxf>
      <font>
        <b val="0"/>
        <i val="0"/>
        <strike val="0"/>
        <outline val="0"/>
        <shadow val="0"/>
        <u val="none"/>
        <vertAlign val="baseline"/>
        <sz val="9"/>
        <color theme="1"/>
        <name val="Segoe UI"/>
        <family val="2"/>
        <scheme val="none"/>
      </font>
    </dxf>
    <dxf>
      <font>
        <b val="0"/>
        <i val="0"/>
        <strike val="0"/>
        <outline val="0"/>
        <shadow val="0"/>
        <u val="none"/>
        <vertAlign val="baseline"/>
        <sz val="9"/>
        <color theme="1"/>
        <name val="Segoe UI"/>
        <family val="2"/>
        <scheme val="none"/>
      </font>
    </dxf>
    <dxf>
      <font>
        <b val="0"/>
        <i val="0"/>
        <strike val="0"/>
        <outline val="0"/>
        <shadow val="0"/>
        <u val="none"/>
        <vertAlign val="baseline"/>
        <sz val="9"/>
        <color theme="1"/>
        <name val="Segoe UI"/>
        <family val="2"/>
        <scheme val="none"/>
      </font>
    </dxf>
    <dxf>
      <font>
        <b val="0"/>
        <i val="0"/>
        <strike val="0"/>
        <outline val="0"/>
        <shadow val="0"/>
        <u val="none"/>
        <vertAlign val="baseline"/>
        <sz val="9"/>
        <color theme="1"/>
        <name val="Segoe UI"/>
        <family val="2"/>
        <scheme val="none"/>
      </font>
    </dxf>
    <dxf>
      <font>
        <b val="0"/>
        <i val="0"/>
        <strike val="0"/>
        <outline val="0"/>
        <shadow val="0"/>
        <u val="none"/>
        <vertAlign val="baseline"/>
        <sz val="9"/>
        <color theme="1"/>
        <name val="Segoe UI"/>
        <family val="2"/>
        <scheme val="none"/>
      </font>
    </dxf>
    <dxf>
      <font>
        <b val="0"/>
        <i val="0"/>
        <strike val="0"/>
        <outline val="0"/>
        <shadow val="0"/>
        <u val="none"/>
        <vertAlign val="baseline"/>
        <sz val="9"/>
        <color theme="1"/>
        <name val="Segoe UI"/>
        <family val="2"/>
        <scheme val="none"/>
      </font>
    </dxf>
    <dxf>
      <font>
        <b val="0"/>
        <i val="0"/>
        <strike val="0"/>
        <outline val="0"/>
        <shadow val="0"/>
        <u val="none"/>
        <vertAlign val="baseline"/>
        <sz val="9"/>
        <color theme="1"/>
        <name val="Segoe UI"/>
        <family val="2"/>
        <scheme val="none"/>
      </font>
    </dxf>
    <dxf>
      <font>
        <b val="0"/>
        <i val="0"/>
        <strike val="0"/>
        <outline val="0"/>
        <shadow val="0"/>
        <u val="none"/>
        <vertAlign val="baseline"/>
        <sz val="9"/>
        <color theme="1"/>
        <name val="Segoe UI"/>
        <family val="2"/>
        <scheme val="none"/>
      </font>
    </dxf>
    <dxf>
      <font>
        <b val="0"/>
        <i val="0"/>
        <strike val="0"/>
        <outline val="0"/>
        <shadow val="0"/>
        <u val="none"/>
        <vertAlign val="baseline"/>
        <sz val="9"/>
        <color theme="1"/>
        <name val="Segoe UI"/>
        <family val="2"/>
        <scheme val="none"/>
      </font>
    </dxf>
    <dxf>
      <font>
        <b val="0"/>
        <i val="0"/>
        <strike val="0"/>
        <outline val="0"/>
        <shadow val="0"/>
        <u val="none"/>
        <vertAlign val="baseline"/>
        <sz val="9"/>
        <color theme="1"/>
        <name val="Segoe UI"/>
        <family val="2"/>
        <scheme val="none"/>
      </font>
    </dxf>
    <dxf>
      <font>
        <b val="0"/>
        <i val="0"/>
        <strike val="0"/>
        <outline val="0"/>
        <shadow val="0"/>
        <u val="none"/>
        <vertAlign val="baseline"/>
        <sz val="9"/>
        <color theme="1"/>
        <name val="Segoe UI"/>
        <family val="2"/>
        <scheme val="none"/>
      </font>
    </dxf>
    <dxf>
      <font>
        <b val="0"/>
        <i val="0"/>
        <strike val="0"/>
        <outline val="0"/>
        <shadow val="0"/>
        <u val="none"/>
        <vertAlign val="baseline"/>
        <sz val="9"/>
        <color theme="1"/>
        <name val="Segoe UI"/>
        <family val="2"/>
        <scheme val="none"/>
      </font>
    </dxf>
    <dxf>
      <font>
        <b val="0"/>
        <i val="0"/>
        <strike val="0"/>
        <condense val="0"/>
        <extend val="0"/>
        <outline val="0"/>
        <shadow val="0"/>
        <u val="none"/>
        <vertAlign val="baseline"/>
        <sz val="9"/>
        <color theme="1"/>
        <name val="Segoe UI"/>
        <family val="2"/>
        <scheme val="none"/>
      </font>
      <fill>
        <patternFill patternType="solid">
          <fgColor indexed="64"/>
          <bgColor rgb="FFF6F1E4"/>
        </patternFill>
      </fill>
    </dxf>
    <dxf>
      <font>
        <b val="0"/>
        <i val="0"/>
        <strike val="0"/>
        <condense val="0"/>
        <extend val="0"/>
        <outline val="0"/>
        <shadow val="0"/>
        <u val="none"/>
        <vertAlign val="baseline"/>
        <sz val="9"/>
        <color theme="1"/>
        <name val="Segoe UI"/>
        <family val="2"/>
        <scheme val="none"/>
      </font>
      <fill>
        <patternFill patternType="solid">
          <fgColor indexed="64"/>
          <bgColor rgb="FFF6F1E4"/>
        </patternFill>
      </fill>
    </dxf>
    <dxf>
      <font>
        <b val="0"/>
        <i val="0"/>
        <strike val="0"/>
        <condense val="0"/>
        <extend val="0"/>
        <outline val="0"/>
        <shadow val="0"/>
        <u val="none"/>
        <vertAlign val="baseline"/>
        <sz val="9"/>
        <color theme="1"/>
        <name val="Segoe UI"/>
        <family val="2"/>
        <scheme val="none"/>
      </font>
      <fill>
        <patternFill patternType="solid">
          <fgColor indexed="64"/>
          <bgColor rgb="FFF6F1E4"/>
        </patternFill>
      </fill>
    </dxf>
    <dxf>
      <font>
        <b val="0"/>
        <i val="0"/>
        <strike val="0"/>
        <condense val="0"/>
        <extend val="0"/>
        <outline val="0"/>
        <shadow val="0"/>
        <u val="none"/>
        <vertAlign val="baseline"/>
        <sz val="9"/>
        <color rgb="FF14110C"/>
        <name val="Segoe UI"/>
        <family val="2"/>
        <scheme val="none"/>
      </font>
      <numFmt numFmtId="167" formatCode="\+0.0%;\-0.0%;0.0%"/>
      <fill>
        <patternFill patternType="solid">
          <fgColor indexed="64"/>
          <bgColor rgb="FFF6F1E4"/>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F6F1E4"/>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F6F1E4"/>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F6F1E4"/>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numFmt numFmtId="165" formatCode="#,##0,,;\-#,##0,,;&quot;-&quo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fill>
        <patternFill patternType="solid">
          <fgColor indexed="64"/>
          <bgColor rgb="FFE8E5FF"/>
        </patternFill>
      </fill>
    </dxf>
    <dxf>
      <font>
        <b val="0"/>
        <i val="0"/>
        <strike val="0"/>
        <condense val="0"/>
        <extend val="0"/>
        <outline val="0"/>
        <shadow val="0"/>
        <u val="none"/>
        <vertAlign val="baseline"/>
        <sz val="9"/>
        <color rgb="FF14110C"/>
        <name val="Segoe UI"/>
        <family val="2"/>
        <scheme val="none"/>
      </font>
      <fill>
        <patternFill patternType="solid">
          <fgColor indexed="64"/>
          <bgColor rgb="FFF6F1E4"/>
        </patternFill>
      </fill>
    </dxf>
    <dxf>
      <font>
        <b val="0"/>
        <i val="0"/>
        <strike val="0"/>
        <condense val="0"/>
        <extend val="0"/>
        <outline val="0"/>
        <shadow val="0"/>
        <u val="none"/>
        <vertAlign val="baseline"/>
        <sz val="9"/>
        <color rgb="FF14110C"/>
        <name val="Segoe UI"/>
        <family val="2"/>
        <scheme val="none"/>
      </font>
      <fill>
        <patternFill patternType="solid">
          <fgColor indexed="64"/>
          <bgColor rgb="FFF6F1E4"/>
        </patternFill>
      </fill>
    </dxf>
    <dxf>
      <font>
        <b/>
        <i val="0"/>
        <color rgb="FF6E675C"/>
      </font>
      <fill>
        <patternFill>
          <bgColor rgb="FFF1E8D6"/>
        </patternFill>
      </fill>
      <border>
        <bottom style="thin">
          <color rgb="FF8F6410"/>
        </bottom>
      </border>
    </dxf>
    <dxf>
      <font>
        <color rgb="FF14110C"/>
      </font>
      <border>
        <bottom style="thin">
          <color rgb="FFDCCFB4"/>
        </bottom>
        <horizontal style="thin">
          <color rgb="FFDCCFB4"/>
        </horizontal>
      </border>
    </dxf>
    <dxf>
      <font>
        <b/>
        <i val="0"/>
        <color rgb="FF6E675C"/>
      </font>
      <border>
        <bottom style="thin">
          <color rgb="FF8F6410"/>
        </bottom>
      </border>
    </dxf>
    <dxf>
      <font>
        <color rgb="FF14110C"/>
      </font>
      <fill>
        <patternFill>
          <bgColor rgb="FFFFFDF8"/>
        </patternFill>
      </fill>
      <border>
        <left style="thin">
          <color rgb="FFDCCFB4"/>
        </left>
        <right style="thin">
          <color rgb="FFDCCFB4"/>
        </right>
        <top style="thin">
          <color rgb="FFDCCFB4"/>
        </top>
        <bottom style="thin">
          <color rgb="FFDCCFB4"/>
        </bottom>
      </border>
    </dxf>
    <dxf>
      <font>
        <color rgb="FF6E675C"/>
      </font>
    </dxf>
    <dxf>
      <font>
        <color rgb="FF6E675C"/>
      </font>
      <fill>
        <patternFill>
          <bgColor rgb="FFFFFDF8"/>
        </patternFill>
      </fill>
    </dxf>
  </dxfs>
  <tableStyles count="3" defaultTableStyle="TableStyleMedium2" defaultPivotStyle="PivotStyleLight16">
    <tableStyle name="MEB Pestañas" pivot="0" table="0" count="8" xr9:uid="{7D29A18B-0FAC-4438-A7A0-B7A65B4AC02B}">
      <tableStyleElement type="wholeTable" dxfId="114"/>
      <tableStyleElement type="headerRow" dxfId="113"/>
    </tableStyle>
    <tableStyle name="MEB Segmentador" pivot="0" table="0" count="8" xr9:uid="{27B5324B-0862-4DC6-8EB8-CB68FF1B62E1}">
      <tableStyleElement type="wholeTable" dxfId="112"/>
      <tableStyleElement type="headerRow" dxfId="111"/>
    </tableStyle>
    <tableStyle name="MEB Tabla" table="0" count="2" xr9:uid="{8AF8DF64-47A3-49F8-978C-73DCAA84E9B4}">
      <tableStyleElement type="wholeTable" dxfId="110"/>
      <tableStyleElement type="headerRow" dxfId="109"/>
    </tableStyle>
  </tableStyles>
  <extLst>
    <ext xmlns:x14="http://schemas.microsoft.com/office/spreadsheetml/2009/9/main" uri="{46F421CA-312F-682f-3DD2-61675219B42D}">
      <x14:dxfs count="12">
        <dxf>
          <font>
            <color rgb="FF0E4D5C"/>
          </font>
          <fill>
            <patternFill>
              <bgColor rgb="FFDCCFB4"/>
            </patternFill>
          </fill>
        </dxf>
        <dxf>
          <font>
            <color rgb="FF14110C"/>
          </font>
          <fill>
            <patternFill>
              <bgColor rgb="FFF1E8D6"/>
            </patternFill>
          </fill>
        </dxf>
        <dxf>
          <font>
            <color rgb="FF6E675C"/>
          </font>
          <fill>
            <patternFill>
              <bgColor rgb="FFDCCFB4"/>
            </patternFill>
          </fill>
        </dxf>
        <dxf>
          <font>
            <color rgb="FF0E4D5C"/>
          </font>
          <fill>
            <patternFill>
              <bgColor rgb="FFF1E8D6"/>
            </patternFill>
          </fill>
          <border>
            <left style="thin">
              <color rgb="FFDCCFB4"/>
            </left>
            <right style="thin">
              <color rgb="FFDCCFB4"/>
            </right>
            <top style="thin">
              <color rgb="FFDCCFB4"/>
            </top>
            <bottom style="thin">
              <color rgb="FFDCCFB4"/>
            </bottom>
          </border>
        </dxf>
        <dxf>
          <font>
            <color rgb="FF9C9280"/>
          </font>
          <fill>
            <patternFill>
              <bgColor rgb="FFFCF9F2"/>
            </patternFill>
          </fill>
        </dxf>
        <dxf>
          <font>
            <color rgb="FF9C9280"/>
          </font>
          <fill>
            <patternFill>
              <bgColor rgb="FFFCF9F2"/>
            </patternFill>
          </fill>
          <border>
            <left style="thin">
              <color rgb="FFDCCFB4"/>
            </left>
            <right style="thin">
              <color rgb="FFDCCFB4"/>
            </right>
            <top style="thin">
              <color rgb="FFDCCFB4"/>
            </top>
            <bottom style="thin">
              <color rgb="FFDCCFB4"/>
            </bottom>
          </border>
        </dxf>
        <dxf>
          <font>
            <color rgb="FF14110C"/>
          </font>
          <fill>
            <patternFill>
              <bgColor rgb="FFF1E8D6"/>
            </patternFill>
          </fill>
        </dxf>
        <dxf>
          <font>
            <color rgb="FF14110C"/>
          </font>
          <fill>
            <patternFill>
              <bgColor rgb="FFF1E8D6"/>
            </patternFill>
          </fill>
        </dxf>
        <dxf>
          <font>
            <color rgb="FF6E675C"/>
          </font>
          <fill>
            <patternFill>
              <bgColor rgb="FFF1E8D6"/>
            </patternFill>
          </fill>
        </dxf>
        <dxf>
          <font>
            <sz val="8"/>
            <color rgb="FF14110C"/>
          </font>
          <fill>
            <patternFill>
              <bgColor rgb="FFF1E8D6"/>
            </patternFill>
          </fill>
          <border>
            <left style="thin">
              <color rgb="FFF1E8D6"/>
            </left>
            <right style="thin">
              <color rgb="FFF1E8D6"/>
            </right>
            <top style="thin">
              <color rgb="FFF1E8D6"/>
            </top>
            <bottom style="thin">
              <color rgb="FF0E4D5C"/>
            </bottom>
          </border>
        </dxf>
        <dxf>
          <font>
            <color rgb="FF9C9280"/>
          </font>
          <fill>
            <patternFill>
              <bgColor rgb="FFFFFDF8"/>
            </patternFill>
          </fill>
        </dxf>
        <dxf>
          <font>
            <sz val="8"/>
            <color rgb="FF6E675C"/>
          </font>
          <fill>
            <patternFill>
              <bgColor rgb="FFFFFDF8"/>
            </patternFill>
          </fill>
          <border>
            <left style="thin">
              <color rgb="FFFFFDF8"/>
            </left>
            <right style="thin">
              <color rgb="FFFFFDF8"/>
            </right>
            <top style="thin">
              <color rgb="FFFFFDF8"/>
            </top>
            <bottom style="thin">
              <color rgb="FFDCCFB4"/>
            </bottom>
          </border>
        </dxf>
      </x14:dxfs>
    </ext>
    <ext xmlns:x14="http://schemas.microsoft.com/office/spreadsheetml/2009/9/main" uri="{EB79DEF2-80B8-43e5-95BD-54CBDDF9020C}">
      <x14:slicerStyles defaultSlicerStyle="SlicerStyleLight1">
        <x14:slicerStyle name="MEB Pestañas">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s>
        </x14:slicerStyle>
        <x14:slicerStyle name="MEB Segmentador">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Base</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cat>
            <c:strRef>
              <c:f>Calculos!$BZ$6:$BZ$12</c:f>
              <c:strCache>
                <c:ptCount val="7"/>
                <c:pt idx="0">
                  <c:v>Utilidad 2026</c:v>
                </c:pt>
                <c:pt idx="1">
                  <c:v>Ingresos</c:v>
                </c:pt>
                <c:pt idx="2">
                  <c:v>Costo de ventas</c:v>
                </c:pt>
                <c:pt idx="3">
                  <c:v>Gastos operativos</c:v>
                </c:pt>
                <c:pt idx="4">
                  <c:v>Financieros y otros</c:v>
                </c:pt>
                <c:pt idx="5">
                  <c:v>Impuesto</c:v>
                </c:pt>
                <c:pt idx="6">
                  <c:v>Utilidad 2027</c:v>
                </c:pt>
              </c:strCache>
            </c:strRef>
          </c:cat>
          <c:val>
            <c:numRef>
              <c:f>Calculos!$CC$6:$CC$12</c:f>
              <c:numCache>
                <c:formatCode>General</c:formatCode>
                <c:ptCount val="7"/>
                <c:pt idx="0">
                  <c:v>0</c:v>
                </c:pt>
                <c:pt idx="1">
                  <c:v>450</c:v>
                </c:pt>
                <c:pt idx="2">
                  <c:v>1204</c:v>
                </c:pt>
                <c:pt idx="3">
                  <c:v>955</c:v>
                </c:pt>
                <c:pt idx="4">
                  <c:v>955</c:v>
                </c:pt>
                <c:pt idx="5">
                  <c:v>795</c:v>
                </c:pt>
                <c:pt idx="6">
                  <c:v>0</c:v>
                </c:pt>
              </c:numCache>
            </c:numRef>
          </c:val>
          <c:extLst>
            <c:ext xmlns:c16="http://schemas.microsoft.com/office/drawing/2014/chart" uri="{C3380CC4-5D6E-409C-BE32-E72D297353CC}">
              <c16:uniqueId val="{00000000-A9DA-4215-A419-CBE48AE1B2A6}"/>
            </c:ext>
          </c:extLst>
        </c:ser>
        <c:ser>
          <c:idx val="1"/>
          <c:order val="1"/>
          <c:tx>
            <c:v>Sube</c:v>
          </c:tx>
          <c:spPr>
            <a:solidFill>
              <a:srgbClr val="14776B"/>
            </a:solidFill>
            <a:ln>
              <a:noFill/>
            </a:ln>
            <a:effectLst/>
            <a:extLst>
              <a:ext uri="{91240B29-F687-4F45-9708-019B960494DF}">
                <a14:hiddenLine xmlns:a14="http://schemas.microsoft.com/office/drawing/2010/main">
                  <a:noFill/>
                </a14:hiddenLine>
              </a:ext>
            </a:extLst>
          </c:spPr>
          <c:invertIfNegative val="0"/>
          <c:cat>
            <c:strRef>
              <c:f>Calculos!$BZ$6:$BZ$12</c:f>
              <c:strCache>
                <c:ptCount val="7"/>
                <c:pt idx="0">
                  <c:v>Utilidad 2026</c:v>
                </c:pt>
                <c:pt idx="1">
                  <c:v>Ingresos</c:v>
                </c:pt>
                <c:pt idx="2">
                  <c:v>Costo de ventas</c:v>
                </c:pt>
                <c:pt idx="3">
                  <c:v>Gastos operativos</c:v>
                </c:pt>
                <c:pt idx="4">
                  <c:v>Financieros y otros</c:v>
                </c:pt>
                <c:pt idx="5">
                  <c:v>Impuesto</c:v>
                </c:pt>
                <c:pt idx="6">
                  <c:v>Utilidad 2027</c:v>
                </c:pt>
              </c:strCache>
            </c:strRef>
          </c:cat>
          <c:val>
            <c:numRef>
              <c:f>Calculos!$CD$6:$CD$12</c:f>
              <c:numCache>
                <c:formatCode>General</c:formatCode>
                <c:ptCount val="7"/>
                <c:pt idx="0">
                  <c:v>0</c:v>
                </c:pt>
                <c:pt idx="1">
                  <c:v>1657</c:v>
                </c:pt>
                <c:pt idx="2">
                  <c:v>0</c:v>
                </c:pt>
                <c:pt idx="3">
                  <c:v>0</c:v>
                </c:pt>
                <c:pt idx="4">
                  <c:v>26</c:v>
                </c:pt>
                <c:pt idx="5">
                  <c:v>0</c:v>
                </c:pt>
                <c:pt idx="6">
                  <c:v>0</c:v>
                </c:pt>
              </c:numCache>
            </c:numRef>
          </c:val>
          <c:extLst>
            <c:ext xmlns:c16="http://schemas.microsoft.com/office/drawing/2014/chart" uri="{C3380CC4-5D6E-409C-BE32-E72D297353CC}">
              <c16:uniqueId val="{00000001-A9DA-4215-A419-CBE48AE1B2A6}"/>
            </c:ext>
          </c:extLst>
        </c:ser>
        <c:ser>
          <c:idx val="2"/>
          <c:order val="2"/>
          <c:tx>
            <c:v>Baja</c:v>
          </c:tx>
          <c:spPr>
            <a:solidFill>
              <a:srgbClr val="9C5142"/>
            </a:solidFill>
            <a:ln>
              <a:noFill/>
            </a:ln>
            <a:effectLst/>
            <a:extLst>
              <a:ext uri="{91240B29-F687-4F45-9708-019B960494DF}">
                <a14:hiddenLine xmlns:a14="http://schemas.microsoft.com/office/drawing/2010/main">
                  <a:noFill/>
                </a14:hiddenLine>
              </a:ext>
            </a:extLst>
          </c:spPr>
          <c:invertIfNegative val="0"/>
          <c:cat>
            <c:strRef>
              <c:f>Calculos!$BZ$6:$BZ$12</c:f>
              <c:strCache>
                <c:ptCount val="7"/>
                <c:pt idx="0">
                  <c:v>Utilidad 2026</c:v>
                </c:pt>
                <c:pt idx="1">
                  <c:v>Ingresos</c:v>
                </c:pt>
                <c:pt idx="2">
                  <c:v>Costo de ventas</c:v>
                </c:pt>
                <c:pt idx="3">
                  <c:v>Gastos operativos</c:v>
                </c:pt>
                <c:pt idx="4">
                  <c:v>Financieros y otros</c:v>
                </c:pt>
                <c:pt idx="5">
                  <c:v>Impuesto</c:v>
                </c:pt>
                <c:pt idx="6">
                  <c:v>Utilidad 2027</c:v>
                </c:pt>
              </c:strCache>
            </c:strRef>
          </c:cat>
          <c:val>
            <c:numRef>
              <c:f>Calculos!$CE$6:$CE$12</c:f>
              <c:numCache>
                <c:formatCode>General</c:formatCode>
                <c:ptCount val="7"/>
                <c:pt idx="0">
                  <c:v>0</c:v>
                </c:pt>
                <c:pt idx="1">
                  <c:v>0</c:v>
                </c:pt>
                <c:pt idx="2">
                  <c:v>903</c:v>
                </c:pt>
                <c:pt idx="3">
                  <c:v>249</c:v>
                </c:pt>
                <c:pt idx="4">
                  <c:v>0</c:v>
                </c:pt>
                <c:pt idx="5">
                  <c:v>186</c:v>
                </c:pt>
                <c:pt idx="6">
                  <c:v>0</c:v>
                </c:pt>
              </c:numCache>
            </c:numRef>
          </c:val>
          <c:extLst>
            <c:ext xmlns:c16="http://schemas.microsoft.com/office/drawing/2014/chart" uri="{C3380CC4-5D6E-409C-BE32-E72D297353CC}">
              <c16:uniqueId val="{00000002-A9DA-4215-A419-CBE48AE1B2A6}"/>
            </c:ext>
          </c:extLst>
        </c:ser>
        <c:ser>
          <c:idx val="3"/>
          <c:order val="3"/>
          <c:tx>
            <c:v>Total</c:v>
          </c:tx>
          <c:spPr>
            <a:solidFill>
              <a:srgbClr val="0E4D5C"/>
            </a:solidFill>
            <a:ln>
              <a:noFill/>
            </a:ln>
            <a:effectLst/>
            <a:extLst>
              <a:ext uri="{91240B29-F687-4F45-9708-019B960494DF}">
                <a14:hiddenLine xmlns:a14="http://schemas.microsoft.com/office/drawing/2010/main">
                  <a:noFill/>
                </a14:hiddenLine>
              </a:ext>
            </a:extLst>
          </c:spPr>
          <c:invertIfNegative val="0"/>
          <c:cat>
            <c:strRef>
              <c:f>Calculos!$BZ$6:$BZ$12</c:f>
              <c:strCache>
                <c:ptCount val="7"/>
                <c:pt idx="0">
                  <c:v>Utilidad 2026</c:v>
                </c:pt>
                <c:pt idx="1">
                  <c:v>Ingresos</c:v>
                </c:pt>
                <c:pt idx="2">
                  <c:v>Costo de ventas</c:v>
                </c:pt>
                <c:pt idx="3">
                  <c:v>Gastos operativos</c:v>
                </c:pt>
                <c:pt idx="4">
                  <c:v>Financieros y otros</c:v>
                </c:pt>
                <c:pt idx="5">
                  <c:v>Impuesto</c:v>
                </c:pt>
                <c:pt idx="6">
                  <c:v>Utilidad 2027</c:v>
                </c:pt>
              </c:strCache>
            </c:strRef>
          </c:cat>
          <c:val>
            <c:numRef>
              <c:f>Calculos!$CF$6:$CF$12</c:f>
              <c:numCache>
                <c:formatCode>General</c:formatCode>
                <c:ptCount val="7"/>
                <c:pt idx="0">
                  <c:v>450</c:v>
                </c:pt>
                <c:pt idx="1">
                  <c:v>0</c:v>
                </c:pt>
                <c:pt idx="2">
                  <c:v>0</c:v>
                </c:pt>
                <c:pt idx="3">
                  <c:v>0</c:v>
                </c:pt>
                <c:pt idx="4">
                  <c:v>0</c:v>
                </c:pt>
                <c:pt idx="5">
                  <c:v>0</c:v>
                </c:pt>
                <c:pt idx="6">
                  <c:v>795</c:v>
                </c:pt>
              </c:numCache>
            </c:numRef>
          </c:val>
          <c:extLst>
            <c:ext xmlns:c16="http://schemas.microsoft.com/office/drawing/2014/chart" uri="{C3380CC4-5D6E-409C-BE32-E72D297353CC}">
              <c16:uniqueId val="{00000003-A9DA-4215-A419-CBE48AE1B2A6}"/>
            </c:ext>
          </c:extLst>
        </c:ser>
        <c:ser>
          <c:idx val="4"/>
          <c:order val="4"/>
          <c:tx>
            <c:v>Etiqueta</c:v>
          </c:tx>
          <c:spPr>
            <a:noFill/>
            <a:ln>
              <a:noFill/>
            </a:ln>
            <a:effectLst/>
            <a:extLst>
              <a:ext uri="{909E8E84-426E-40DD-AFC4-6F175D3DCCD1}">
                <a14:hiddenFill xmlns:a14="http://schemas.microsoft.com/office/drawing/2010/main">
                  <a:solidFill>
                    <a:srgbClr val="A02B93"/>
                  </a:solidFill>
                </a14:hiddenFill>
              </a:ext>
              <a:ext uri="{91240B29-F687-4F45-9708-019B960494DF}">
                <a14:hiddenLine xmlns:a14="http://schemas.microsoft.com/office/drawing/2010/main">
                  <a:noFill/>
                </a14:hiddenLine>
              </a:ext>
            </a:extLst>
          </c:spPr>
          <c:invertIfNegative val="0"/>
          <c:dLbls>
            <c:dLbl>
              <c:idx val="0"/>
              <c:tx>
                <c:rich>
                  <a:bodyPr/>
                  <a:lstStyle/>
                  <a:p>
                    <a:fld id="{AF74D18A-5E2E-4FDF-9102-233A47F0C4EB}" type="CELLRANGE">
                      <a:rPr lang="es-CO"/>
                      <a:pPr/>
                      <a:t>[CELLRANGE]</a:t>
                    </a:fld>
                    <a:endParaRPr lang="es-CO"/>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9DA-4215-A419-CBE48AE1B2A6}"/>
                </c:ext>
              </c:extLst>
            </c:dLbl>
            <c:dLbl>
              <c:idx val="1"/>
              <c:tx>
                <c:rich>
                  <a:bodyPr/>
                  <a:lstStyle/>
                  <a:p>
                    <a:fld id="{E78E7C4A-0D90-4EA8-A8D7-F6D84DC4F345}" type="CELLRANGE">
                      <a:rPr lang="es-CO"/>
                      <a:pPr/>
                      <a:t>[CELLRANGE]</a:t>
                    </a:fld>
                    <a:endParaRPr lang="es-CO"/>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9DA-4215-A419-CBE48AE1B2A6}"/>
                </c:ext>
              </c:extLst>
            </c:dLbl>
            <c:dLbl>
              <c:idx val="2"/>
              <c:tx>
                <c:rich>
                  <a:bodyPr/>
                  <a:lstStyle/>
                  <a:p>
                    <a:fld id="{65FF8427-F9E8-4B23-B9B8-CAD543AB20C8}" type="CELLRANGE">
                      <a:rPr lang="es-CO"/>
                      <a:pPr/>
                      <a:t>[CELLRANGE]</a:t>
                    </a:fld>
                    <a:endParaRPr lang="es-CO"/>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9DA-4215-A419-CBE48AE1B2A6}"/>
                </c:ext>
              </c:extLst>
            </c:dLbl>
            <c:dLbl>
              <c:idx val="3"/>
              <c:tx>
                <c:rich>
                  <a:bodyPr/>
                  <a:lstStyle/>
                  <a:p>
                    <a:fld id="{328333F5-199C-4895-A572-27E2A83B6C54}" type="CELLRANGE">
                      <a:rPr lang="es-CO"/>
                      <a:pPr/>
                      <a:t>[CELLRANGE]</a:t>
                    </a:fld>
                    <a:endParaRPr lang="es-CO"/>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9DA-4215-A419-CBE48AE1B2A6}"/>
                </c:ext>
              </c:extLst>
            </c:dLbl>
            <c:dLbl>
              <c:idx val="4"/>
              <c:tx>
                <c:rich>
                  <a:bodyPr/>
                  <a:lstStyle/>
                  <a:p>
                    <a:fld id="{34B3A0B7-4991-4BBF-917D-E31F7D04EACD}" type="CELLRANGE">
                      <a:rPr lang="es-CO"/>
                      <a:pPr/>
                      <a:t>[CELLRANGE]</a:t>
                    </a:fld>
                    <a:endParaRPr lang="es-CO"/>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9DA-4215-A419-CBE48AE1B2A6}"/>
                </c:ext>
              </c:extLst>
            </c:dLbl>
            <c:dLbl>
              <c:idx val="5"/>
              <c:tx>
                <c:rich>
                  <a:bodyPr/>
                  <a:lstStyle/>
                  <a:p>
                    <a:fld id="{D9F8FB2D-DEAA-498B-950C-77C0023846F8}" type="CELLRANGE">
                      <a:rPr lang="es-CO"/>
                      <a:pPr/>
                      <a:t>[CELLRANGE]</a:t>
                    </a:fld>
                    <a:endParaRPr lang="es-CO"/>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9DA-4215-A419-CBE48AE1B2A6}"/>
                </c:ext>
              </c:extLst>
            </c:dLbl>
            <c:dLbl>
              <c:idx val="6"/>
              <c:tx>
                <c:rich>
                  <a:bodyPr/>
                  <a:lstStyle/>
                  <a:p>
                    <a:fld id="{268FAAE9-9C8D-43D8-A082-9A6AB7FEE00F}" type="CELLRANGE">
                      <a:rPr lang="es-CO"/>
                      <a:pPr/>
                      <a:t>[CELLRANGE]</a:t>
                    </a:fld>
                    <a:endParaRPr lang="es-CO"/>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9DA-4215-A419-CBE48AE1B2A6}"/>
                </c:ext>
              </c:extLst>
            </c:dLbl>
            <c:spPr>
              <a:noFill/>
              <a:ln>
                <a:noFill/>
              </a:ln>
              <a:effectLst/>
            </c:sp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Calculos!$BZ$6:$BZ$12</c:f>
              <c:strCache>
                <c:ptCount val="7"/>
                <c:pt idx="0">
                  <c:v>Utilidad 2026</c:v>
                </c:pt>
                <c:pt idx="1">
                  <c:v>Ingresos</c:v>
                </c:pt>
                <c:pt idx="2">
                  <c:v>Costo de ventas</c:v>
                </c:pt>
                <c:pt idx="3">
                  <c:v>Gastos operativos</c:v>
                </c:pt>
                <c:pt idx="4">
                  <c:v>Financieros y otros</c:v>
                </c:pt>
                <c:pt idx="5">
                  <c:v>Impuesto</c:v>
                </c:pt>
                <c:pt idx="6">
                  <c:v>Utilidad 2027</c:v>
                </c:pt>
              </c:strCache>
            </c:strRef>
          </c:cat>
          <c:val>
            <c:numRef>
              <c:f>Calculos!$CW$6:$CW$12</c:f>
              <c:numCache>
                <c:formatCode>General</c:formatCode>
                <c:ptCount val="7"/>
                <c:pt idx="0">
                  <c:v>1</c:v>
                </c:pt>
                <c:pt idx="1">
                  <c:v>1</c:v>
                </c:pt>
                <c:pt idx="2">
                  <c:v>1</c:v>
                </c:pt>
                <c:pt idx="3">
                  <c:v>1</c:v>
                </c:pt>
                <c:pt idx="4">
                  <c:v>1</c:v>
                </c:pt>
                <c:pt idx="5">
                  <c:v>1</c:v>
                </c:pt>
                <c:pt idx="6">
                  <c:v>1</c:v>
                </c:pt>
              </c:numCache>
            </c:numRef>
          </c:val>
          <c:extLst>
            <c:ext xmlns:c15="http://schemas.microsoft.com/office/drawing/2012/chart" uri="{02D57815-91ED-43cb-92C2-25804820EDAC}">
              <c15:datalabelsRange>
                <c15:f>Calculos!$CG$6:$CG$12</c15:f>
                <c15:dlblRangeCache>
                  <c:ptCount val="7"/>
                  <c:pt idx="0">
                    <c:v>450</c:v>
                  </c:pt>
                  <c:pt idx="1">
                    <c:v>+1.657</c:v>
                  </c:pt>
                  <c:pt idx="2">
                    <c:v>-903</c:v>
                  </c:pt>
                  <c:pt idx="3">
                    <c:v>-249</c:v>
                  </c:pt>
                  <c:pt idx="4">
                    <c:v>+26</c:v>
                  </c:pt>
                  <c:pt idx="5">
                    <c:v>-186</c:v>
                  </c:pt>
                  <c:pt idx="6">
                    <c:v>795</c:v>
                  </c:pt>
                </c15:dlblRangeCache>
              </c15:datalabelsRange>
            </c:ext>
            <c:ext xmlns:c16="http://schemas.microsoft.com/office/drawing/2014/chart" uri="{C3380CC4-5D6E-409C-BE32-E72D297353CC}">
              <c16:uniqueId val="{00000004-A9DA-4215-A419-CBE48AE1B2A6}"/>
            </c:ext>
          </c:extLst>
        </c:ser>
        <c:dLbls>
          <c:showLegendKey val="0"/>
          <c:showVal val="0"/>
          <c:showCatName val="0"/>
          <c:showSerName val="0"/>
          <c:showPercent val="0"/>
          <c:showBubbleSize val="0"/>
        </c:dLbls>
        <c:gapWidth val="45"/>
        <c:overlap val="100"/>
        <c:axId val="1629365296"/>
        <c:axId val="1629366736"/>
      </c:barChart>
      <c:catAx>
        <c:axId val="1629365296"/>
        <c:scaling>
          <c:orientation val="minMax"/>
        </c:scaling>
        <c:delete val="0"/>
        <c:axPos val="b"/>
        <c:numFmt formatCode="General" sourceLinked="1"/>
        <c:majorTickMark val="none"/>
        <c:minorTickMark val="none"/>
        <c:tickLblPos val="nextTo"/>
        <c:spPr>
          <a:ln>
            <a:solidFill>
              <a:srgbClr val="C6BB98"/>
            </a:solidFill>
          </a:ln>
        </c:spPr>
        <c:txPr>
          <a:bodyPr/>
          <a:lstStyle/>
          <a:p>
            <a:pPr>
              <a:defRPr sz="750">
                <a:latin typeface="Segoe UI"/>
                <a:ea typeface="Segoe UI"/>
                <a:cs typeface="Segoe UI"/>
              </a:defRPr>
            </a:pPr>
            <a:endParaRPr lang="es-CO"/>
          </a:p>
        </c:txPr>
        <c:crossAx val="1629366736"/>
        <c:crosses val="autoZero"/>
        <c:auto val="1"/>
        <c:lblAlgn val="ctr"/>
        <c:lblOffset val="100"/>
        <c:noMultiLvlLbl val="0"/>
      </c:catAx>
      <c:valAx>
        <c:axId val="1629366736"/>
        <c:scaling>
          <c:orientation val="minMax"/>
        </c:scaling>
        <c:delete val="0"/>
        <c:axPos val="l"/>
        <c:numFmt formatCode="General" sourceLinked="1"/>
        <c:majorTickMark val="out"/>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29365296"/>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700">
          <a:solidFill>
            <a:srgbClr val="6E675C"/>
          </a:solidFill>
          <a:latin typeface="Segoe UI" panose="020B0502040204020203" pitchFamily="34" charset="0"/>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Real 2026</c:v>
          </c:tx>
          <c:spPr>
            <a:solidFill>
              <a:srgbClr val="FFFDF8"/>
            </a:solidFill>
            <a:ln w="12700">
              <a:solidFill>
                <a:srgbClr val="C6BB98"/>
              </a:solidFill>
              <a:prstDash val="dash"/>
            </a:ln>
          </c:spPr>
          <c:invertIfNegative val="0"/>
          <c:cat>
            <c:strRef>
              <c:f>Calculos!$CH$6:$CH$17</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Calculos!$CI$6:$CI$17</c:f>
              <c:numCache>
                <c:formatCode>General</c:formatCode>
                <c:ptCount val="12"/>
                <c:pt idx="0">
                  <c:v>800</c:v>
                </c:pt>
                <c:pt idx="1">
                  <c:v>850</c:v>
                </c:pt>
                <c:pt idx="2">
                  <c:v>950</c:v>
                </c:pt>
                <c:pt idx="3">
                  <c:v>950</c:v>
                </c:pt>
                <c:pt idx="4">
                  <c:v>1000</c:v>
                </c:pt>
                <c:pt idx="5">
                  <c:v>1000</c:v>
                </c:pt>
                <c:pt idx="6">
                  <c:v>1000</c:v>
                </c:pt>
                <c:pt idx="7">
                  <c:v>1050</c:v>
                </c:pt>
                <c:pt idx="8">
                  <c:v>1000</c:v>
                </c:pt>
                <c:pt idx="9">
                  <c:v>1050</c:v>
                </c:pt>
                <c:pt idx="10">
                  <c:v>1150</c:v>
                </c:pt>
                <c:pt idx="11">
                  <c:v>1200</c:v>
                </c:pt>
              </c:numCache>
            </c:numRef>
          </c:val>
          <c:extLst>
            <c:ext xmlns:c16="http://schemas.microsoft.com/office/drawing/2014/chart" uri="{C3380CC4-5D6E-409C-BE32-E72D297353CC}">
              <c16:uniqueId val="{00000000-B87E-4156-BA5B-F8D8E767302E}"/>
            </c:ext>
          </c:extLst>
        </c:ser>
        <c:ser>
          <c:idx val="1"/>
          <c:order val="1"/>
          <c:tx>
            <c:v>Presupuesto 2027</c:v>
          </c:tx>
          <c:spPr>
            <a:solidFill>
              <a:srgbClr val="0E4D5C"/>
            </a:solidFill>
            <a:ln>
              <a:noFill/>
            </a:ln>
            <a:effectLst/>
            <a:extLst>
              <a:ext uri="{91240B29-F687-4F45-9708-019B960494DF}">
                <a14:hiddenLine xmlns:a14="http://schemas.microsoft.com/office/drawing/2010/main">
                  <a:noFill/>
                </a14:hiddenLine>
              </a:ext>
            </a:extLst>
          </c:spPr>
          <c:invertIfNegative val="0"/>
          <c:dLbls>
            <c:numFmt formatCode="#,##0;\-#,##0;;" sourceLinked="0"/>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Calculos!$CH$6:$CH$17</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Calculos!$CJ$6:$CJ$17</c:f>
              <c:numCache>
                <c:formatCode>General</c:formatCode>
                <c:ptCount val="12"/>
                <c:pt idx="0">
                  <c:v>910</c:v>
                </c:pt>
                <c:pt idx="1">
                  <c:v>967</c:v>
                </c:pt>
                <c:pt idx="2">
                  <c:v>1081</c:v>
                </c:pt>
                <c:pt idx="3">
                  <c:v>1081</c:v>
                </c:pt>
                <c:pt idx="4">
                  <c:v>1138</c:v>
                </c:pt>
                <c:pt idx="5">
                  <c:v>1138</c:v>
                </c:pt>
                <c:pt idx="6">
                  <c:v>1138</c:v>
                </c:pt>
                <c:pt idx="7">
                  <c:v>1195</c:v>
                </c:pt>
                <c:pt idx="8">
                  <c:v>1138</c:v>
                </c:pt>
                <c:pt idx="9">
                  <c:v>1195</c:v>
                </c:pt>
                <c:pt idx="10">
                  <c:v>1309</c:v>
                </c:pt>
                <c:pt idx="11">
                  <c:v>1366</c:v>
                </c:pt>
              </c:numCache>
            </c:numRef>
          </c:val>
          <c:extLst>
            <c:ext xmlns:c16="http://schemas.microsoft.com/office/drawing/2014/chart" uri="{C3380CC4-5D6E-409C-BE32-E72D297353CC}">
              <c16:uniqueId val="{00000001-B87E-4156-BA5B-F8D8E767302E}"/>
            </c:ext>
          </c:extLst>
        </c:ser>
        <c:dLbls>
          <c:showLegendKey val="0"/>
          <c:showVal val="0"/>
          <c:showCatName val="0"/>
          <c:showSerName val="0"/>
          <c:showPercent val="0"/>
          <c:showBubbleSize val="0"/>
        </c:dLbls>
        <c:gapWidth val="55"/>
        <c:overlap val="-5"/>
        <c:axId val="1617511952"/>
        <c:axId val="1617512432"/>
      </c:barChart>
      <c:catAx>
        <c:axId val="1617511952"/>
        <c:scaling>
          <c:orientation val="minMax"/>
        </c:scaling>
        <c:delete val="0"/>
        <c:axPos val="b"/>
        <c:numFmt formatCode="General" sourceLinked="1"/>
        <c:majorTickMark val="none"/>
        <c:minorTickMark val="none"/>
        <c:tickLblPos val="nextTo"/>
        <c:spPr>
          <a:ln>
            <a:solidFill>
              <a:srgbClr val="C6BB98"/>
            </a:solidFill>
          </a:ln>
        </c:spPr>
        <c:txPr>
          <a:bodyPr/>
          <a:lstStyle/>
          <a:p>
            <a:pPr>
              <a:defRPr sz="750">
                <a:latin typeface="Segoe UI"/>
                <a:ea typeface="Segoe UI"/>
                <a:cs typeface="Segoe UI"/>
              </a:defRPr>
            </a:pPr>
            <a:endParaRPr lang="es-CO"/>
          </a:p>
        </c:txPr>
        <c:crossAx val="1617512432"/>
        <c:crosses val="autoZero"/>
        <c:auto val="1"/>
        <c:lblAlgn val="ctr"/>
        <c:lblOffset val="100"/>
        <c:noMultiLvlLbl val="0"/>
      </c:catAx>
      <c:valAx>
        <c:axId val="1617512432"/>
        <c:scaling>
          <c:orientation val="minMax"/>
        </c:scaling>
        <c:delete val="0"/>
        <c:axPos val="l"/>
        <c:numFmt formatCode="General" sourceLinked="1"/>
        <c:majorTickMark val="out"/>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7511952"/>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legend>
      <c:legendPos val="b"/>
      <c:overlay val="0"/>
      <c:txPr>
        <a:bodyPr/>
        <a:lstStyle/>
        <a:p>
          <a:pPr>
            <a:defRPr sz="750">
              <a:latin typeface="Segoe UI"/>
              <a:ea typeface="Segoe UI"/>
              <a:cs typeface="Segoe UI"/>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700">
          <a:solidFill>
            <a:srgbClr val="6E675C"/>
          </a:solidFill>
          <a:latin typeface="Segoe UI" panose="020B0502040204020203" pitchFamily="34" charset="0"/>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Real 2026</c:v>
          </c:tx>
          <c:spPr>
            <a:solidFill>
              <a:srgbClr val="FFFDF8"/>
            </a:solidFill>
            <a:ln w="12700">
              <a:solidFill>
                <a:srgbClr val="C6BB98"/>
              </a:solidFill>
              <a:prstDash val="dash"/>
            </a:ln>
          </c:spPr>
          <c:invertIfNegative val="0"/>
          <c:dLbls>
            <c:numFmt formatCode="#,##0;\-#,##0;;" sourceLinked="0"/>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[0]!ccEtq</c:f>
              <c:strCache>
                <c:ptCount val="4"/>
                <c:pt idx="0">
                  <c:v>Administración</c:v>
                </c:pt>
                <c:pt idx="1">
                  <c:v>Comercial</c:v>
                </c:pt>
                <c:pt idx="2">
                  <c:v>Corporativo</c:v>
                </c:pt>
                <c:pt idx="3">
                  <c:v>Operaciones</c:v>
                </c:pt>
              </c:strCache>
            </c:strRef>
          </c:cat>
          <c:val>
            <c:numRef>
              <c:f>[0]!ccR</c:f>
              <c:numCache>
                <c:formatCode>General</c:formatCode>
                <c:ptCount val="4"/>
                <c:pt idx="0">
                  <c:v>1260</c:v>
                </c:pt>
                <c:pt idx="1">
                  <c:v>1120</c:v>
                </c:pt>
                <c:pt idx="2">
                  <c:v>348</c:v>
                </c:pt>
                <c:pt idx="3">
                  <c:v>1010</c:v>
                </c:pt>
              </c:numCache>
            </c:numRef>
          </c:val>
          <c:extLst>
            <c:ext xmlns:c16="http://schemas.microsoft.com/office/drawing/2014/chart" uri="{C3380CC4-5D6E-409C-BE32-E72D297353CC}">
              <c16:uniqueId val="{00000000-7F43-46A9-9FEC-B8AEDFB91E1A}"/>
            </c:ext>
          </c:extLst>
        </c:ser>
        <c:ser>
          <c:idx val="1"/>
          <c:order val="1"/>
          <c:tx>
            <c:v>Presupuesto 2027</c:v>
          </c:tx>
          <c:spPr>
            <a:solidFill>
              <a:srgbClr val="0E4D5C"/>
            </a:solidFill>
            <a:ln>
              <a:noFill/>
            </a:ln>
            <a:effectLst/>
            <a:extLst>
              <a:ext uri="{91240B29-F687-4F45-9708-019B960494DF}">
                <a14:hiddenLine xmlns:a14="http://schemas.microsoft.com/office/drawing/2010/main">
                  <a:noFill/>
                </a14:hiddenLine>
              </a:ext>
            </a:extLst>
          </c:spPr>
          <c:invertIfNegative val="0"/>
          <c:dLbls>
            <c:numFmt formatCode="#,##0;\-#,##0;;" sourceLinked="0"/>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[0]!ccEtq</c:f>
              <c:strCache>
                <c:ptCount val="4"/>
                <c:pt idx="0">
                  <c:v>Administración</c:v>
                </c:pt>
                <c:pt idx="1">
                  <c:v>Comercial</c:v>
                </c:pt>
                <c:pt idx="2">
                  <c:v>Corporativo</c:v>
                </c:pt>
                <c:pt idx="3">
                  <c:v>Operaciones</c:v>
                </c:pt>
              </c:strCache>
            </c:strRef>
          </c:cat>
          <c:val>
            <c:numRef>
              <c:f>[0]!ccP</c:f>
              <c:numCache>
                <c:formatCode>General</c:formatCode>
                <c:ptCount val="4"/>
                <c:pt idx="0">
                  <c:v>1290</c:v>
                </c:pt>
                <c:pt idx="1">
                  <c:v>1282</c:v>
                </c:pt>
                <c:pt idx="2">
                  <c:v>324</c:v>
                </c:pt>
                <c:pt idx="3">
                  <c:v>1068</c:v>
                </c:pt>
              </c:numCache>
            </c:numRef>
          </c:val>
          <c:extLst>
            <c:ext xmlns:c16="http://schemas.microsoft.com/office/drawing/2014/chart" uri="{C3380CC4-5D6E-409C-BE32-E72D297353CC}">
              <c16:uniqueId val="{00000001-7F43-46A9-9FEC-B8AEDFB91E1A}"/>
            </c:ext>
          </c:extLst>
        </c:ser>
        <c:dLbls>
          <c:showLegendKey val="0"/>
          <c:showVal val="0"/>
          <c:showCatName val="0"/>
          <c:showSerName val="0"/>
          <c:showPercent val="0"/>
          <c:showBubbleSize val="0"/>
        </c:dLbls>
        <c:gapWidth val="50"/>
        <c:overlap val="-5"/>
        <c:axId val="1811116832"/>
        <c:axId val="1811127392"/>
      </c:barChart>
      <c:catAx>
        <c:axId val="1811116832"/>
        <c:scaling>
          <c:orientation val="maxMin"/>
        </c:scaling>
        <c:delete val="0"/>
        <c:axPos val="l"/>
        <c:numFmt formatCode="General" sourceLinked="1"/>
        <c:majorTickMark val="none"/>
        <c:minorTickMark val="none"/>
        <c:tickLblPos val="nextTo"/>
        <c:spPr>
          <a:ln>
            <a:solidFill>
              <a:srgbClr val="C6BB98"/>
            </a:solidFill>
          </a:ln>
        </c:spPr>
        <c:txPr>
          <a:bodyPr/>
          <a:lstStyle/>
          <a:p>
            <a:pPr>
              <a:defRPr sz="750">
                <a:latin typeface="Segoe UI"/>
                <a:ea typeface="Segoe UI"/>
                <a:cs typeface="Segoe UI"/>
              </a:defRPr>
            </a:pPr>
            <a:endParaRPr lang="es-CO"/>
          </a:p>
        </c:txPr>
        <c:crossAx val="1811127392"/>
        <c:crosses val="autoZero"/>
        <c:auto val="1"/>
        <c:lblAlgn val="ctr"/>
        <c:lblOffset val="100"/>
        <c:noMultiLvlLbl val="0"/>
      </c:catAx>
      <c:valAx>
        <c:axId val="1811127392"/>
        <c:scaling>
          <c:orientation val="minMax"/>
          <c:max val="1612.5"/>
        </c:scaling>
        <c:delete val="0"/>
        <c:axPos val="t"/>
        <c:numFmt formatCode="General" sourceLinked="1"/>
        <c:majorTickMark val="out"/>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811116832"/>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legend>
      <c:legendPos val="b"/>
      <c:overlay val="0"/>
      <c:txPr>
        <a:bodyPr/>
        <a:lstStyle/>
        <a:p>
          <a:pPr>
            <a:defRPr sz="750">
              <a:latin typeface="Segoe UI"/>
              <a:ea typeface="Segoe UI"/>
              <a:cs typeface="Segoe UI"/>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700">
          <a:solidFill>
            <a:srgbClr val="6E675C"/>
          </a:solidFill>
          <a:latin typeface="Segoe UI" panose="020B0502040204020203" pitchFamily="34" charset="0"/>
        </a:defRPr>
      </a:pPr>
      <a:endParaRPr lang="es-CO"/>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Tablero'!A1"/><Relationship Id="rId2" Type="http://schemas.openxmlformats.org/officeDocument/2006/relationships/hyperlink" Target="https://www.linkedin.com/in/mauricio-escobar-bernales/" TargetMode="External"/><Relationship Id="rId1" Type="http://schemas.openxmlformats.org/officeDocument/2006/relationships/image" Target="../media/image1.jpeg"/><Relationship Id="rId6" Type="http://schemas.openxmlformats.org/officeDocument/2006/relationships/hyperlink" Target="#'Seguimiento'!A1"/><Relationship Id="rId5" Type="http://schemas.openxmlformats.org/officeDocument/2006/relationships/hyperlink" Target="#'Estado de resultados'!A1"/><Relationship Id="rId4" Type="http://schemas.openxmlformats.org/officeDocument/2006/relationships/hyperlink" Target="#'PPTO 2027'!A1"/></Relationships>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4.emf"/><Relationship Id="rId3" Type="http://schemas.openxmlformats.org/officeDocument/2006/relationships/hyperlink" Target="#'Gu&#237;a'!A1"/><Relationship Id="rId7" Type="http://schemas.openxmlformats.org/officeDocument/2006/relationships/hyperlink" Target="#'Tablero'!A1"/><Relationship Id="rId12" Type="http://schemas.openxmlformats.org/officeDocument/2006/relationships/image" Target="../media/image3.emf"/><Relationship Id="rId2" Type="http://schemas.openxmlformats.org/officeDocument/2006/relationships/hyperlink" Target="https://www.linkedin.com/in/mauricio-escobar-bernales/" TargetMode="External"/><Relationship Id="rId1" Type="http://schemas.openxmlformats.org/officeDocument/2006/relationships/image" Target="../media/image1.jpeg"/><Relationship Id="rId6" Type="http://schemas.openxmlformats.org/officeDocument/2006/relationships/hyperlink" Target="#'Seguimiento'!A1"/><Relationship Id="rId11" Type="http://schemas.openxmlformats.org/officeDocument/2006/relationships/image" Target="../media/image2.emf"/><Relationship Id="rId5" Type="http://schemas.openxmlformats.org/officeDocument/2006/relationships/hyperlink" Target="#'Estado de resultados'!A1"/><Relationship Id="rId10" Type="http://schemas.openxmlformats.org/officeDocument/2006/relationships/chart" Target="../charts/chart3.xml"/><Relationship Id="rId4" Type="http://schemas.openxmlformats.org/officeDocument/2006/relationships/hyperlink" Target="#'PPTO 2027'!A1"/><Relationship Id="rId9" Type="http://schemas.openxmlformats.org/officeDocument/2006/relationships/chart" Target="../charts/chart2.xml"/><Relationship Id="rId14"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6</xdr:col>
      <xdr:colOff>165100</xdr:colOff>
      <xdr:row>39</xdr:row>
      <xdr:rowOff>57150</xdr:rowOff>
    </xdr:to>
    <xdr:sp macro="" textlink="">
      <xdr:nvSpPr>
        <xdr:cNvPr id="2" name="rail">
          <a:extLst>
            <a:ext uri="{FF2B5EF4-FFF2-40B4-BE49-F238E27FC236}">
              <a16:creationId xmlns:a16="http://schemas.microsoft.com/office/drawing/2014/main" id="{94D5BD83-321D-95A2-F3D2-654921A832BC}"/>
            </a:ext>
          </a:extLst>
        </xdr:cNvPr>
        <xdr:cNvSpPr/>
      </xdr:nvSpPr>
      <xdr:spPr>
        <a:xfrm>
          <a:off x="0" y="0"/>
          <a:ext cx="1498600" cy="10414000"/>
        </a:xfrm>
        <a:prstGeom prst="rect">
          <a:avLst/>
        </a:prstGeom>
        <a:solidFill>
          <a:srgbClr val="0E4D5C"/>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absolute">
    <xdr:from>
      <xdr:col>1</xdr:col>
      <xdr:colOff>158750</xdr:colOff>
      <xdr:row>0</xdr:row>
      <xdr:rowOff>88900</xdr:rowOff>
    </xdr:from>
    <xdr:to>
      <xdr:col>5</xdr:col>
      <xdr:colOff>8890</xdr:colOff>
      <xdr:row>4</xdr:row>
      <xdr:rowOff>129540</xdr:rowOff>
    </xdr:to>
    <xdr:pic>
      <xdr:nvPicPr>
        <xdr:cNvPr id="4" name="firma_foto">
          <a:extLst>
            <a:ext uri="{FF2B5EF4-FFF2-40B4-BE49-F238E27FC236}">
              <a16:creationId xmlns:a16="http://schemas.microsoft.com/office/drawing/2014/main" id="{0C6A2691-C849-404F-7E50-68314AD80F6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88900"/>
          <a:ext cx="739140" cy="751840"/>
        </a:xfrm>
        <a:prstGeom prst="ellipse">
          <a:avLst/>
        </a:prstGeom>
        <a:ln w="15875">
          <a:solidFill>
            <a:srgbClr val="D6A44E"/>
          </a:solidFill>
        </a:ln>
      </xdr:spPr>
    </xdr:pic>
    <xdr:clientData/>
  </xdr:twoCellAnchor>
  <xdr:twoCellAnchor editAs="absolute">
    <xdr:from>
      <xdr:col>0</xdr:col>
      <xdr:colOff>76200</xdr:colOff>
      <xdr:row>5</xdr:row>
      <xdr:rowOff>38100</xdr:rowOff>
    </xdr:from>
    <xdr:to>
      <xdr:col>6</xdr:col>
      <xdr:colOff>88900</xdr:colOff>
      <xdr:row>6</xdr:row>
      <xdr:rowOff>25400</xdr:rowOff>
    </xdr:to>
    <xdr:sp macro="" textlink="">
      <xdr:nvSpPr>
        <xdr:cNvPr id="5" name="firma_nombre">
          <a:extLst>
            <a:ext uri="{FF2B5EF4-FFF2-40B4-BE49-F238E27FC236}">
              <a16:creationId xmlns:a16="http://schemas.microsoft.com/office/drawing/2014/main" id="{6D0C2615-67AC-4C2E-BAAA-D0CBC027C52C}"/>
            </a:ext>
          </a:extLst>
        </xdr:cNvPr>
        <xdr:cNvSpPr txBox="1"/>
      </xdr:nvSpPr>
      <xdr:spPr>
        <a:xfrm>
          <a:off x="76200" y="927100"/>
          <a:ext cx="13462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ctr"/>
          <a:r>
            <a:rPr lang="es-CO" sz="850" b="1">
              <a:solidFill>
                <a:srgbClr val="FCF9F2"/>
              </a:solidFill>
              <a:latin typeface="Segoe UI" panose="020B0502040204020203" pitchFamily="34" charset="0"/>
            </a:rPr>
            <a:t>MAURICIO ESCOBAR</a:t>
          </a:r>
        </a:p>
      </xdr:txBody>
    </xdr:sp>
    <xdr:clientData/>
  </xdr:twoCellAnchor>
  <xdr:twoCellAnchor editAs="absolute">
    <xdr:from>
      <xdr:col>0</xdr:col>
      <xdr:colOff>76200</xdr:colOff>
      <xdr:row>6</xdr:row>
      <xdr:rowOff>38100</xdr:rowOff>
    </xdr:from>
    <xdr:to>
      <xdr:col>6</xdr:col>
      <xdr:colOff>88900</xdr:colOff>
      <xdr:row>7</xdr:row>
      <xdr:rowOff>0</xdr:rowOff>
    </xdr:to>
    <xdr:sp macro="" textlink="">
      <xdr:nvSpPr>
        <xdr:cNvPr id="6" name="firma_linkedin">
          <a:hlinkClick xmlns:r="http://schemas.openxmlformats.org/officeDocument/2006/relationships" r:id="rId2" tooltip="Mauricio Escobar en LinkedIn"/>
          <a:extLst>
            <a:ext uri="{FF2B5EF4-FFF2-40B4-BE49-F238E27FC236}">
              <a16:creationId xmlns:a16="http://schemas.microsoft.com/office/drawing/2014/main" id="{054A49E9-28B2-3AC1-D2E2-FF860C29AA86}"/>
            </a:ext>
          </a:extLst>
        </xdr:cNvPr>
        <xdr:cNvSpPr txBox="1"/>
      </xdr:nvSpPr>
      <xdr:spPr>
        <a:xfrm>
          <a:off x="76200" y="1104900"/>
          <a:ext cx="13462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ctr"/>
          <a:r>
            <a:rPr lang="es-CO" sz="800" b="0">
              <a:solidFill>
                <a:srgbClr val="DCCFB4"/>
              </a:solidFill>
              <a:latin typeface="Segoe UI" panose="020B0502040204020203" pitchFamily="34" charset="0"/>
            </a:rPr>
            <a:t>Linkedin</a:t>
          </a:r>
        </a:p>
      </xdr:txBody>
    </xdr:sp>
    <xdr:clientData/>
  </xdr:twoCellAnchor>
  <xdr:twoCellAnchor editAs="absolute">
    <xdr:from>
      <xdr:col>1</xdr:col>
      <xdr:colOff>158750</xdr:colOff>
      <xdr:row>7</xdr:row>
      <xdr:rowOff>76200</xdr:rowOff>
    </xdr:from>
    <xdr:to>
      <xdr:col>5</xdr:col>
      <xdr:colOff>6350</xdr:colOff>
      <xdr:row>7</xdr:row>
      <xdr:rowOff>76200</xdr:rowOff>
    </xdr:to>
    <xdr:cxnSp macro="">
      <xdr:nvCxnSpPr>
        <xdr:cNvPr id="7" name="firma_filete">
          <a:extLst>
            <a:ext uri="{FF2B5EF4-FFF2-40B4-BE49-F238E27FC236}">
              <a16:creationId xmlns:a16="http://schemas.microsoft.com/office/drawing/2014/main" id="{286B731B-F906-9924-3E7B-39E1ACC508A6}"/>
            </a:ext>
          </a:extLst>
        </xdr:cNvPr>
        <xdr:cNvCxnSpPr/>
      </xdr:nvCxnSpPr>
      <xdr:spPr>
        <a:xfrm>
          <a:off x="381000" y="1320800"/>
          <a:ext cx="736600" cy="0"/>
        </a:xfrm>
        <a:prstGeom prst="line">
          <a:avLst/>
        </a:prstGeom>
        <a:ln w="12700">
          <a:solidFill>
            <a:srgbClr val="D6A44E"/>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0</xdr:col>
      <xdr:colOff>127000</xdr:colOff>
      <xdr:row>7</xdr:row>
      <xdr:rowOff>228600</xdr:rowOff>
    </xdr:from>
    <xdr:to>
      <xdr:col>6</xdr:col>
      <xdr:colOff>38100</xdr:colOff>
      <xdr:row>7</xdr:row>
      <xdr:rowOff>508000</xdr:rowOff>
    </xdr:to>
    <xdr:sp macro="" textlink="">
      <xdr:nvSpPr>
        <xdr:cNvPr id="8" name="nav_0">
          <a:extLst>
            <a:ext uri="{FF2B5EF4-FFF2-40B4-BE49-F238E27FC236}">
              <a16:creationId xmlns:a16="http://schemas.microsoft.com/office/drawing/2014/main" id="{D9E96D18-F45D-A025-B736-710FD9C46DB1}"/>
            </a:ext>
          </a:extLst>
        </xdr:cNvPr>
        <xdr:cNvSpPr/>
      </xdr:nvSpPr>
      <xdr:spPr>
        <a:xfrm>
          <a:off x="127000" y="1498600"/>
          <a:ext cx="1244600" cy="279400"/>
        </a:xfrm>
        <a:prstGeom prst="roundRect">
          <a:avLst>
            <a:gd name="adj" fmla="val 50000"/>
          </a:avLst>
        </a:prstGeom>
        <a:solidFill>
          <a:srgbClr val="FCF9F2"/>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01600" rIns="25400" rtlCol="0" anchor="ctr"/>
        <a:lstStyle/>
        <a:p>
          <a:pPr algn="l"/>
          <a:r>
            <a:rPr lang="es-CO" sz="750" b="1">
              <a:solidFill>
                <a:srgbClr val="D6A44E"/>
              </a:solidFill>
              <a:latin typeface="Segoe UI" panose="020B0502040204020203" pitchFamily="34" charset="0"/>
            </a:rPr>
            <a:t>01</a:t>
          </a:r>
          <a:r>
            <a:rPr lang="es-CO" sz="750" b="1">
              <a:solidFill>
                <a:srgbClr val="0E4D5C"/>
              </a:solidFill>
              <a:latin typeface="Segoe UI" panose="020B0502040204020203" pitchFamily="34" charset="0"/>
            </a:rPr>
            <a:t>  GUÍA</a:t>
          </a:r>
        </a:p>
      </xdr:txBody>
    </xdr:sp>
    <xdr:clientData/>
  </xdr:twoCellAnchor>
  <xdr:twoCellAnchor editAs="absolute">
    <xdr:from>
      <xdr:col>0</xdr:col>
      <xdr:colOff>127000</xdr:colOff>
      <xdr:row>7</xdr:row>
      <xdr:rowOff>584200</xdr:rowOff>
    </xdr:from>
    <xdr:to>
      <xdr:col>6</xdr:col>
      <xdr:colOff>38100</xdr:colOff>
      <xdr:row>8</xdr:row>
      <xdr:rowOff>50800</xdr:rowOff>
    </xdr:to>
    <xdr:sp macro="" textlink="">
      <xdr:nvSpPr>
        <xdr:cNvPr id="9" name="nav_1">
          <a:hlinkClick xmlns:r="http://schemas.openxmlformats.org/officeDocument/2006/relationships" r:id="rId3" tooltip="Ir a Tablero"/>
          <a:extLst>
            <a:ext uri="{FF2B5EF4-FFF2-40B4-BE49-F238E27FC236}">
              <a16:creationId xmlns:a16="http://schemas.microsoft.com/office/drawing/2014/main" id="{A43DA9C7-13AC-6764-9EED-2AE34D8B04BF}"/>
            </a:ext>
          </a:extLst>
        </xdr:cNvPr>
        <xdr:cNvSpPr/>
      </xdr:nvSpPr>
      <xdr:spPr>
        <a:xfrm>
          <a:off x="127000" y="1854200"/>
          <a:ext cx="1244600" cy="279400"/>
        </a:xfrm>
        <a:prstGeom prst="roundRect">
          <a:avLst>
            <a:gd name="adj" fmla="val 50000"/>
          </a:avLst>
        </a:prstGeom>
        <a:solidFill>
          <a:srgbClr val="0E4D5C"/>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01600" rIns="25400" rtlCol="0" anchor="ctr"/>
        <a:lstStyle/>
        <a:p>
          <a:pPr algn="l"/>
          <a:r>
            <a:rPr lang="es-CO" sz="750" b="1">
              <a:solidFill>
                <a:srgbClr val="D6A44E"/>
              </a:solidFill>
              <a:latin typeface="Segoe UI" panose="020B0502040204020203" pitchFamily="34" charset="0"/>
            </a:rPr>
            <a:t>02</a:t>
          </a:r>
          <a:r>
            <a:rPr lang="es-CO" sz="750" b="1">
              <a:solidFill>
                <a:srgbClr val="DCCFB4"/>
              </a:solidFill>
              <a:latin typeface="Segoe UI" panose="020B0502040204020203" pitchFamily="34" charset="0"/>
            </a:rPr>
            <a:t>  TABLERO</a:t>
          </a:r>
        </a:p>
      </xdr:txBody>
    </xdr:sp>
    <xdr:clientData/>
  </xdr:twoCellAnchor>
  <xdr:twoCellAnchor editAs="absolute">
    <xdr:from>
      <xdr:col>0</xdr:col>
      <xdr:colOff>127000</xdr:colOff>
      <xdr:row>8</xdr:row>
      <xdr:rowOff>127000</xdr:rowOff>
    </xdr:from>
    <xdr:to>
      <xdr:col>6</xdr:col>
      <xdr:colOff>38100</xdr:colOff>
      <xdr:row>10</xdr:row>
      <xdr:rowOff>25400</xdr:rowOff>
    </xdr:to>
    <xdr:sp macro="" textlink="">
      <xdr:nvSpPr>
        <xdr:cNvPr id="10" name="nav_2">
          <a:hlinkClick xmlns:r="http://schemas.openxmlformats.org/officeDocument/2006/relationships" r:id="rId4" tooltip="Ir a PPTO 2027"/>
          <a:extLst>
            <a:ext uri="{FF2B5EF4-FFF2-40B4-BE49-F238E27FC236}">
              <a16:creationId xmlns:a16="http://schemas.microsoft.com/office/drawing/2014/main" id="{BDC16FAA-1302-290A-B328-DEB706F223D6}"/>
            </a:ext>
          </a:extLst>
        </xdr:cNvPr>
        <xdr:cNvSpPr/>
      </xdr:nvSpPr>
      <xdr:spPr>
        <a:xfrm>
          <a:off x="127000" y="2209800"/>
          <a:ext cx="1244600" cy="279400"/>
        </a:xfrm>
        <a:prstGeom prst="roundRect">
          <a:avLst>
            <a:gd name="adj" fmla="val 50000"/>
          </a:avLst>
        </a:prstGeom>
        <a:solidFill>
          <a:srgbClr val="0E4D5C"/>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01600" rIns="25400" rtlCol="0" anchor="ctr"/>
        <a:lstStyle/>
        <a:p>
          <a:pPr algn="l"/>
          <a:r>
            <a:rPr lang="es-CO" sz="750" b="1">
              <a:solidFill>
                <a:srgbClr val="D6A44E"/>
              </a:solidFill>
              <a:latin typeface="Segoe UI" panose="020B0502040204020203" pitchFamily="34" charset="0"/>
            </a:rPr>
            <a:t>03</a:t>
          </a:r>
          <a:r>
            <a:rPr lang="es-CO" sz="750" b="1">
              <a:solidFill>
                <a:srgbClr val="DCCFB4"/>
              </a:solidFill>
              <a:latin typeface="Segoe UI" panose="020B0502040204020203" pitchFamily="34" charset="0"/>
            </a:rPr>
            <a:t>  PPTO 2027</a:t>
          </a:r>
        </a:p>
      </xdr:txBody>
    </xdr:sp>
    <xdr:clientData/>
  </xdr:twoCellAnchor>
  <xdr:twoCellAnchor editAs="absolute">
    <xdr:from>
      <xdr:col>0</xdr:col>
      <xdr:colOff>127000</xdr:colOff>
      <xdr:row>10</xdr:row>
      <xdr:rowOff>101600</xdr:rowOff>
    </xdr:from>
    <xdr:to>
      <xdr:col>6</xdr:col>
      <xdr:colOff>38100</xdr:colOff>
      <xdr:row>10</xdr:row>
      <xdr:rowOff>381000</xdr:rowOff>
    </xdr:to>
    <xdr:sp macro="" textlink="">
      <xdr:nvSpPr>
        <xdr:cNvPr id="11" name="nav_3">
          <a:hlinkClick xmlns:r="http://schemas.openxmlformats.org/officeDocument/2006/relationships" r:id="rId5" tooltip="Ir a Estado de resultados"/>
          <a:extLst>
            <a:ext uri="{FF2B5EF4-FFF2-40B4-BE49-F238E27FC236}">
              <a16:creationId xmlns:a16="http://schemas.microsoft.com/office/drawing/2014/main" id="{D4712B2D-6F15-16E1-F4FB-88F25258CD29}"/>
            </a:ext>
          </a:extLst>
        </xdr:cNvPr>
        <xdr:cNvSpPr/>
      </xdr:nvSpPr>
      <xdr:spPr>
        <a:xfrm>
          <a:off x="127000" y="2565400"/>
          <a:ext cx="1244600" cy="279400"/>
        </a:xfrm>
        <a:prstGeom prst="roundRect">
          <a:avLst>
            <a:gd name="adj" fmla="val 50000"/>
          </a:avLst>
        </a:prstGeom>
        <a:solidFill>
          <a:srgbClr val="0E4D5C"/>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01600" rIns="25400" rtlCol="0" anchor="ctr"/>
        <a:lstStyle/>
        <a:p>
          <a:pPr algn="l"/>
          <a:r>
            <a:rPr lang="es-CO" sz="750" b="1">
              <a:solidFill>
                <a:srgbClr val="D6A44E"/>
              </a:solidFill>
              <a:latin typeface="Segoe UI" panose="020B0502040204020203" pitchFamily="34" charset="0"/>
            </a:rPr>
            <a:t>04</a:t>
          </a:r>
          <a:r>
            <a:rPr lang="es-CO" sz="750" b="1">
              <a:solidFill>
                <a:srgbClr val="DCCFB4"/>
              </a:solidFill>
              <a:latin typeface="Segoe UI" panose="020B0502040204020203" pitchFamily="34" charset="0"/>
            </a:rPr>
            <a:t>  ESTADO DE RESULTADOS</a:t>
          </a:r>
        </a:p>
      </xdr:txBody>
    </xdr:sp>
    <xdr:clientData/>
  </xdr:twoCellAnchor>
  <xdr:twoCellAnchor editAs="absolute">
    <xdr:from>
      <xdr:col>0</xdr:col>
      <xdr:colOff>127000</xdr:colOff>
      <xdr:row>10</xdr:row>
      <xdr:rowOff>457200</xdr:rowOff>
    </xdr:from>
    <xdr:to>
      <xdr:col>6</xdr:col>
      <xdr:colOff>38100</xdr:colOff>
      <xdr:row>11</xdr:row>
      <xdr:rowOff>95250</xdr:rowOff>
    </xdr:to>
    <xdr:sp macro="" textlink="">
      <xdr:nvSpPr>
        <xdr:cNvPr id="12" name="nav_4">
          <a:hlinkClick xmlns:r="http://schemas.openxmlformats.org/officeDocument/2006/relationships" r:id="rId6" tooltip="Ir a Seguimiento"/>
          <a:extLst>
            <a:ext uri="{FF2B5EF4-FFF2-40B4-BE49-F238E27FC236}">
              <a16:creationId xmlns:a16="http://schemas.microsoft.com/office/drawing/2014/main" id="{DBC0E27B-02A4-C51F-18A7-26BC73C3F896}"/>
            </a:ext>
          </a:extLst>
        </xdr:cNvPr>
        <xdr:cNvSpPr/>
      </xdr:nvSpPr>
      <xdr:spPr>
        <a:xfrm>
          <a:off x="127000" y="2921000"/>
          <a:ext cx="1244600" cy="279400"/>
        </a:xfrm>
        <a:prstGeom prst="roundRect">
          <a:avLst>
            <a:gd name="adj" fmla="val 50000"/>
          </a:avLst>
        </a:prstGeom>
        <a:solidFill>
          <a:srgbClr val="0E4D5C"/>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01600" rIns="25400" rtlCol="0" anchor="ctr"/>
        <a:lstStyle/>
        <a:p>
          <a:pPr algn="l"/>
          <a:r>
            <a:rPr lang="es-CO" sz="750" b="1">
              <a:solidFill>
                <a:srgbClr val="D6A44E"/>
              </a:solidFill>
              <a:latin typeface="Segoe UI" panose="020B0502040204020203" pitchFamily="34" charset="0"/>
            </a:rPr>
            <a:t>05</a:t>
          </a:r>
          <a:r>
            <a:rPr lang="es-CO" sz="750" b="1">
              <a:solidFill>
                <a:srgbClr val="DCCFB4"/>
              </a:solidFill>
              <a:latin typeface="Segoe UI" panose="020B0502040204020203" pitchFamily="34" charset="0"/>
            </a:rPr>
            <a:t>  SEGUIMIENTO</a:t>
          </a:r>
        </a:p>
      </xdr:txBody>
    </xdr:sp>
    <xdr:clientData/>
  </xdr:twoCellAnchor>
  <xdr:twoCellAnchor editAs="absolute">
    <xdr:from>
      <xdr:col>0</xdr:col>
      <xdr:colOff>127000</xdr:colOff>
      <xdr:row>36</xdr:row>
      <xdr:rowOff>82550</xdr:rowOff>
    </xdr:from>
    <xdr:to>
      <xdr:col>6</xdr:col>
      <xdr:colOff>38100</xdr:colOff>
      <xdr:row>38</xdr:row>
      <xdr:rowOff>158750</xdr:rowOff>
    </xdr:to>
    <xdr:sp macro="" textlink="">
      <xdr:nvSpPr>
        <xdr:cNvPr id="13" name="pie_rail">
          <a:extLst>
            <a:ext uri="{FF2B5EF4-FFF2-40B4-BE49-F238E27FC236}">
              <a16:creationId xmlns:a16="http://schemas.microsoft.com/office/drawing/2014/main" id="{87AEDE2C-8C1E-F0DC-CABA-F6470D80DE6B}"/>
            </a:ext>
          </a:extLst>
        </xdr:cNvPr>
        <xdr:cNvSpPr txBox="1"/>
      </xdr:nvSpPr>
      <xdr:spPr>
        <a:xfrm>
          <a:off x="127000" y="9906000"/>
          <a:ext cx="12446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ctr"/>
          <a:r>
            <a:rPr lang="es-CO" sz="700" b="0">
              <a:solidFill>
                <a:srgbClr val="DCCFB4"/>
              </a:solidFill>
              <a:latin typeface="Segoe UI" panose="020B0502040204020203" pitchFamily="34" charset="0"/>
            </a:rPr>
            <a:t>Plantilla gratuita
Datos de ejemplo</a:t>
          </a:r>
        </a:p>
      </xdr:txBody>
    </xdr:sp>
    <xdr:clientData/>
  </xdr:twoCellAnchor>
  <xdr:twoCellAnchor editAs="absolute">
    <xdr:from>
      <xdr:col>8</xdr:col>
      <xdr:colOff>50800</xdr:colOff>
      <xdr:row>1</xdr:row>
      <xdr:rowOff>25400</xdr:rowOff>
    </xdr:from>
    <xdr:to>
      <xdr:col>10</xdr:col>
      <xdr:colOff>7226300</xdr:colOff>
      <xdr:row>3</xdr:row>
      <xdr:rowOff>0</xdr:rowOff>
    </xdr:to>
    <xdr:sp macro="" textlink="">
      <xdr:nvSpPr>
        <xdr:cNvPr id="14" name="titulo">
          <a:extLst>
            <a:ext uri="{FF2B5EF4-FFF2-40B4-BE49-F238E27FC236}">
              <a16:creationId xmlns:a16="http://schemas.microsoft.com/office/drawing/2014/main" id="{25B12CB8-B52E-C0A3-3F07-5DAF88EA5EE3}"/>
            </a:ext>
          </a:extLst>
        </xdr:cNvPr>
        <xdr:cNvSpPr txBox="1"/>
      </xdr:nvSpPr>
      <xdr:spPr>
        <a:xfrm>
          <a:off x="1828800" y="203200"/>
          <a:ext cx="7620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2000" b="1">
              <a:solidFill>
                <a:srgbClr val="14110C"/>
              </a:solidFill>
              <a:latin typeface="Segoe UI" panose="020B0502040204020203" pitchFamily="34" charset="0"/>
            </a:rPr>
            <a:t>ARMA TU PRESUPUESTO 2027 EN 5 PASOS</a:t>
          </a:r>
        </a:p>
      </xdr:txBody>
    </xdr:sp>
    <xdr:clientData/>
  </xdr:twoCellAnchor>
  <xdr:twoCellAnchor editAs="absolute">
    <xdr:from>
      <xdr:col>8</xdr:col>
      <xdr:colOff>50800</xdr:colOff>
      <xdr:row>3</xdr:row>
      <xdr:rowOff>25400</xdr:rowOff>
    </xdr:from>
    <xdr:to>
      <xdr:col>12</xdr:col>
      <xdr:colOff>6350</xdr:colOff>
      <xdr:row>4</xdr:row>
      <xdr:rowOff>25400</xdr:rowOff>
    </xdr:to>
    <xdr:sp macro="" textlink="">
      <xdr:nvSpPr>
        <xdr:cNvPr id="15" name="subtitulo">
          <a:extLst>
            <a:ext uri="{FF2B5EF4-FFF2-40B4-BE49-F238E27FC236}">
              <a16:creationId xmlns:a16="http://schemas.microsoft.com/office/drawing/2014/main" id="{1D530666-BFD0-5307-6799-18DBCAF237B9}"/>
            </a:ext>
          </a:extLst>
        </xdr:cNvPr>
        <xdr:cNvSpPr txBox="1"/>
      </xdr:nvSpPr>
      <xdr:spPr>
        <a:xfrm>
          <a:off x="1828800" y="558800"/>
          <a:ext cx="8890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850" b="0">
              <a:solidFill>
                <a:srgbClr val="6E675C"/>
              </a:solidFill>
              <a:latin typeface="Segoe UI" panose="020B0502040204020203" pitchFamily="34" charset="0"/>
            </a:rPr>
            <a:t>Parte de tu real 2026, define los supuestos y el archivo arma el 2027 mes a mes y le hace seguimiento. Sin macros: fórmulas en vivo, tablas dinámicas y segmentadores.</a:t>
          </a:r>
        </a:p>
      </xdr:txBody>
    </xdr:sp>
    <xdr:clientData/>
  </xdr:twoCellAnchor>
  <xdr:twoCellAnchor editAs="absolute">
    <xdr:from>
      <xdr:col>8</xdr:col>
      <xdr:colOff>50800</xdr:colOff>
      <xdr:row>4</xdr:row>
      <xdr:rowOff>101600</xdr:rowOff>
    </xdr:from>
    <xdr:to>
      <xdr:col>14</xdr:col>
      <xdr:colOff>463550</xdr:colOff>
      <xdr:row>4</xdr:row>
      <xdr:rowOff>101600</xdr:rowOff>
    </xdr:to>
    <xdr:cxnSp macro="">
      <xdr:nvCxnSpPr>
        <xdr:cNvPr id="16" name="filete_enc">
          <a:extLst>
            <a:ext uri="{FF2B5EF4-FFF2-40B4-BE49-F238E27FC236}">
              <a16:creationId xmlns:a16="http://schemas.microsoft.com/office/drawing/2014/main" id="{387E84AC-CF6E-482F-D2B6-86B6002A1729}"/>
            </a:ext>
          </a:extLst>
        </xdr:cNvPr>
        <xdr:cNvCxnSpPr/>
      </xdr:nvCxnSpPr>
      <xdr:spPr>
        <a:xfrm>
          <a:off x="1828800" y="812800"/>
          <a:ext cx="10871200" cy="0"/>
        </a:xfrm>
        <a:prstGeom prst="line">
          <a:avLst/>
        </a:prstGeom>
        <a:ln w="19050">
          <a:solidFill>
            <a:srgbClr val="8F641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12</xdr:col>
      <xdr:colOff>82550</xdr:colOff>
      <xdr:row>1</xdr:row>
      <xdr:rowOff>50800</xdr:rowOff>
    </xdr:from>
    <xdr:to>
      <xdr:col>14</xdr:col>
      <xdr:colOff>463550</xdr:colOff>
      <xdr:row>3</xdr:row>
      <xdr:rowOff>0</xdr:rowOff>
    </xdr:to>
    <xdr:sp macro="" textlink="">
      <xdr:nvSpPr>
        <xdr:cNvPr id="17" name="ir_tablero">
          <a:hlinkClick xmlns:r="http://schemas.openxmlformats.org/officeDocument/2006/relationships" r:id="rId3" tooltip="Ir al tablero"/>
          <a:extLst>
            <a:ext uri="{FF2B5EF4-FFF2-40B4-BE49-F238E27FC236}">
              <a16:creationId xmlns:a16="http://schemas.microsoft.com/office/drawing/2014/main" id="{71F6FFD8-EB5B-4350-692A-61EB11B8A769}"/>
            </a:ext>
          </a:extLst>
        </xdr:cNvPr>
        <xdr:cNvSpPr/>
      </xdr:nvSpPr>
      <xdr:spPr>
        <a:xfrm>
          <a:off x="10795000" y="228600"/>
          <a:ext cx="1905000" cy="304800"/>
        </a:xfrm>
        <a:prstGeom prst="roundRect">
          <a:avLst>
            <a:gd name="adj" fmla="val 50000"/>
          </a:avLst>
        </a:prstGeom>
        <a:solidFill>
          <a:srgbClr val="0E4D5C"/>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800" b="1">
              <a:solidFill>
                <a:srgbClr val="FCF9F2"/>
              </a:solidFill>
              <a:latin typeface="Segoe UI" panose="020B0502040204020203" pitchFamily="34" charset="0"/>
            </a:rPr>
            <a:t>VER EL TABLERO  ›</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50800</xdr:colOff>
      <xdr:row>5</xdr:row>
      <xdr:rowOff>12700</xdr:rowOff>
    </xdr:from>
    <xdr:to>
      <xdr:col>32</xdr:col>
      <xdr:colOff>50800</xdr:colOff>
      <xdr:row>18</xdr:row>
      <xdr:rowOff>139700</xdr:rowOff>
    </xdr:to>
    <xdr:sp macro="" textlink="">
      <xdr:nvSpPr>
        <xdr:cNvPr id="19" name="k_pestanas">
          <a:extLst>
            <a:ext uri="{FF2B5EF4-FFF2-40B4-BE49-F238E27FC236}">
              <a16:creationId xmlns:a16="http://schemas.microsoft.com/office/drawing/2014/main" id="{9251D5FB-C61C-1FC5-C356-338B098CED64}"/>
            </a:ext>
          </a:extLst>
        </xdr:cNvPr>
        <xdr:cNvSpPr/>
      </xdr:nvSpPr>
      <xdr:spPr>
        <a:xfrm>
          <a:off x="1828800" y="965200"/>
          <a:ext cx="5334000" cy="2603500"/>
        </a:xfrm>
        <a:prstGeom prst="roundRect">
          <a:avLst>
            <a:gd name="adj" fmla="val 6829"/>
          </a:avLst>
        </a:prstGeom>
        <a:solidFill>
          <a:srgbClr val="FFFDF8"/>
        </a:solidFill>
        <a:ln w="9525">
          <a:solidFill>
            <a:srgbClr val="C6BB98"/>
          </a:solidFill>
        </a:ln>
        <a:effectLst>
          <a:outerShdw blurRad="177800" dist="63500" dir="5400000" rotWithShape="0">
            <a:srgbClr val="14110C">
              <a:alpha val="1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absolute">
    <xdr:from>
      <xdr:col>0</xdr:col>
      <xdr:colOff>0</xdr:colOff>
      <xdr:row>0</xdr:row>
      <xdr:rowOff>0</xdr:rowOff>
    </xdr:from>
    <xdr:to>
      <xdr:col>6</xdr:col>
      <xdr:colOff>165100</xdr:colOff>
      <xdr:row>84</xdr:row>
      <xdr:rowOff>127000</xdr:rowOff>
    </xdr:to>
    <xdr:sp macro="" textlink="">
      <xdr:nvSpPr>
        <xdr:cNvPr id="3" name="rail">
          <a:extLst>
            <a:ext uri="{FF2B5EF4-FFF2-40B4-BE49-F238E27FC236}">
              <a16:creationId xmlns:a16="http://schemas.microsoft.com/office/drawing/2014/main" id="{C419D5F8-E3FB-0983-1042-9DEA244FA715}"/>
            </a:ext>
          </a:extLst>
        </xdr:cNvPr>
        <xdr:cNvSpPr/>
      </xdr:nvSpPr>
      <xdr:spPr>
        <a:xfrm>
          <a:off x="0" y="0"/>
          <a:ext cx="1498600" cy="16129000"/>
        </a:xfrm>
        <a:prstGeom prst="rect">
          <a:avLst/>
        </a:prstGeom>
        <a:solidFill>
          <a:srgbClr val="0E4D5C"/>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absolute">
    <xdr:from>
      <xdr:col>1</xdr:col>
      <xdr:colOff>158750</xdr:colOff>
      <xdr:row>0</xdr:row>
      <xdr:rowOff>88900</xdr:rowOff>
    </xdr:from>
    <xdr:to>
      <xdr:col>5</xdr:col>
      <xdr:colOff>8890</xdr:colOff>
      <xdr:row>4</xdr:row>
      <xdr:rowOff>78740</xdr:rowOff>
    </xdr:to>
    <xdr:pic>
      <xdr:nvPicPr>
        <xdr:cNvPr id="5" name="firma_foto">
          <a:extLst>
            <a:ext uri="{FF2B5EF4-FFF2-40B4-BE49-F238E27FC236}">
              <a16:creationId xmlns:a16="http://schemas.microsoft.com/office/drawing/2014/main" id="{93955BDC-27E2-AE99-ED3C-EA361B1120D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88900"/>
          <a:ext cx="739140" cy="751840"/>
        </a:xfrm>
        <a:prstGeom prst="ellipse">
          <a:avLst/>
        </a:prstGeom>
        <a:ln w="15875">
          <a:solidFill>
            <a:srgbClr val="D6A44E"/>
          </a:solidFill>
        </a:ln>
      </xdr:spPr>
    </xdr:pic>
    <xdr:clientData/>
  </xdr:twoCellAnchor>
  <xdr:twoCellAnchor editAs="absolute">
    <xdr:from>
      <xdr:col>0</xdr:col>
      <xdr:colOff>76200</xdr:colOff>
      <xdr:row>4</xdr:row>
      <xdr:rowOff>165100</xdr:rowOff>
    </xdr:from>
    <xdr:to>
      <xdr:col>6</xdr:col>
      <xdr:colOff>88900</xdr:colOff>
      <xdr:row>5</xdr:row>
      <xdr:rowOff>139700</xdr:rowOff>
    </xdr:to>
    <xdr:sp macro="" textlink="">
      <xdr:nvSpPr>
        <xdr:cNvPr id="6" name="firma_nombre">
          <a:extLst>
            <a:ext uri="{FF2B5EF4-FFF2-40B4-BE49-F238E27FC236}">
              <a16:creationId xmlns:a16="http://schemas.microsoft.com/office/drawing/2014/main" id="{4DB164B9-2BA6-4051-D835-0573B6581190}"/>
            </a:ext>
          </a:extLst>
        </xdr:cNvPr>
        <xdr:cNvSpPr txBox="1"/>
      </xdr:nvSpPr>
      <xdr:spPr>
        <a:xfrm>
          <a:off x="76200" y="927100"/>
          <a:ext cx="13462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ctr"/>
          <a:r>
            <a:rPr lang="es-CO" sz="850" b="1">
              <a:solidFill>
                <a:srgbClr val="FCF9F2"/>
              </a:solidFill>
              <a:latin typeface="Segoe UI" panose="020B0502040204020203" pitchFamily="34" charset="0"/>
            </a:rPr>
            <a:t>MAURICIO ESCOBAR</a:t>
          </a:r>
        </a:p>
      </xdr:txBody>
    </xdr:sp>
    <xdr:clientData/>
  </xdr:twoCellAnchor>
  <xdr:twoCellAnchor editAs="absolute">
    <xdr:from>
      <xdr:col>0</xdr:col>
      <xdr:colOff>76200</xdr:colOff>
      <xdr:row>5</xdr:row>
      <xdr:rowOff>152400</xdr:rowOff>
    </xdr:from>
    <xdr:to>
      <xdr:col>6</xdr:col>
      <xdr:colOff>88900</xdr:colOff>
      <xdr:row>6</xdr:row>
      <xdr:rowOff>127000</xdr:rowOff>
    </xdr:to>
    <xdr:sp macro="" textlink="">
      <xdr:nvSpPr>
        <xdr:cNvPr id="7" name="firma_linkedin">
          <a:hlinkClick xmlns:r="http://schemas.openxmlformats.org/officeDocument/2006/relationships" r:id="rId2" tooltip="Mauricio Escobar en LinkedIn"/>
          <a:extLst>
            <a:ext uri="{FF2B5EF4-FFF2-40B4-BE49-F238E27FC236}">
              <a16:creationId xmlns:a16="http://schemas.microsoft.com/office/drawing/2014/main" id="{5FE34BA5-92E0-5ED0-1C06-6B7DD53868DD}"/>
            </a:ext>
          </a:extLst>
        </xdr:cNvPr>
        <xdr:cNvSpPr txBox="1"/>
      </xdr:nvSpPr>
      <xdr:spPr>
        <a:xfrm>
          <a:off x="76200" y="1104900"/>
          <a:ext cx="13462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ctr"/>
          <a:r>
            <a:rPr lang="es-CO" sz="800" b="0">
              <a:solidFill>
                <a:srgbClr val="DCCFB4"/>
              </a:solidFill>
              <a:latin typeface="Segoe UI" panose="020B0502040204020203" pitchFamily="34" charset="0"/>
            </a:rPr>
            <a:t>Linkedin</a:t>
          </a:r>
        </a:p>
      </xdr:txBody>
    </xdr:sp>
    <xdr:clientData/>
  </xdr:twoCellAnchor>
  <xdr:twoCellAnchor editAs="absolute">
    <xdr:from>
      <xdr:col>1</xdr:col>
      <xdr:colOff>158750</xdr:colOff>
      <xdr:row>6</xdr:row>
      <xdr:rowOff>177800</xdr:rowOff>
    </xdr:from>
    <xdr:to>
      <xdr:col>5</xdr:col>
      <xdr:colOff>6350</xdr:colOff>
      <xdr:row>6</xdr:row>
      <xdr:rowOff>177800</xdr:rowOff>
    </xdr:to>
    <xdr:cxnSp macro="">
      <xdr:nvCxnSpPr>
        <xdr:cNvPr id="8" name="firma_filete">
          <a:extLst>
            <a:ext uri="{FF2B5EF4-FFF2-40B4-BE49-F238E27FC236}">
              <a16:creationId xmlns:a16="http://schemas.microsoft.com/office/drawing/2014/main" id="{2B045AE2-437B-5B6A-3B0D-E31E3FA4200A}"/>
            </a:ext>
          </a:extLst>
        </xdr:cNvPr>
        <xdr:cNvCxnSpPr/>
      </xdr:nvCxnSpPr>
      <xdr:spPr>
        <a:xfrm>
          <a:off x="381000" y="1320800"/>
          <a:ext cx="736600" cy="0"/>
        </a:xfrm>
        <a:prstGeom prst="line">
          <a:avLst/>
        </a:prstGeom>
        <a:ln w="12700">
          <a:solidFill>
            <a:srgbClr val="D6A44E"/>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0</xdr:col>
      <xdr:colOff>127000</xdr:colOff>
      <xdr:row>7</xdr:row>
      <xdr:rowOff>165100</xdr:rowOff>
    </xdr:from>
    <xdr:to>
      <xdr:col>6</xdr:col>
      <xdr:colOff>38100</xdr:colOff>
      <xdr:row>9</xdr:row>
      <xdr:rowOff>63500</xdr:rowOff>
    </xdr:to>
    <xdr:sp macro="" textlink="">
      <xdr:nvSpPr>
        <xdr:cNvPr id="9" name="nav_0">
          <a:hlinkClick xmlns:r="http://schemas.openxmlformats.org/officeDocument/2006/relationships" r:id="rId3" tooltip="Ir a Guía"/>
          <a:extLst>
            <a:ext uri="{FF2B5EF4-FFF2-40B4-BE49-F238E27FC236}">
              <a16:creationId xmlns:a16="http://schemas.microsoft.com/office/drawing/2014/main" id="{A01E1DA0-3804-8501-9F2E-72BDA4CAD13D}"/>
            </a:ext>
          </a:extLst>
        </xdr:cNvPr>
        <xdr:cNvSpPr/>
      </xdr:nvSpPr>
      <xdr:spPr>
        <a:xfrm>
          <a:off x="127000" y="1498600"/>
          <a:ext cx="1244600" cy="279400"/>
        </a:xfrm>
        <a:prstGeom prst="roundRect">
          <a:avLst>
            <a:gd name="adj" fmla="val 50000"/>
          </a:avLst>
        </a:prstGeom>
        <a:solidFill>
          <a:srgbClr val="0E4D5C"/>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01600" rIns="25400" rtlCol="0" anchor="ctr"/>
        <a:lstStyle/>
        <a:p>
          <a:pPr algn="l"/>
          <a:r>
            <a:rPr lang="es-CO" sz="750" b="1">
              <a:solidFill>
                <a:srgbClr val="D6A44E"/>
              </a:solidFill>
              <a:latin typeface="Segoe UI" panose="020B0502040204020203" pitchFamily="34" charset="0"/>
            </a:rPr>
            <a:t>01</a:t>
          </a:r>
          <a:r>
            <a:rPr lang="es-CO" sz="750" b="1">
              <a:solidFill>
                <a:srgbClr val="DCCFB4"/>
              </a:solidFill>
              <a:latin typeface="Segoe UI" panose="020B0502040204020203" pitchFamily="34" charset="0"/>
            </a:rPr>
            <a:t>  GUÍA</a:t>
          </a:r>
        </a:p>
      </xdr:txBody>
    </xdr:sp>
    <xdr:clientData/>
  </xdr:twoCellAnchor>
  <xdr:twoCellAnchor editAs="absolute">
    <xdr:from>
      <xdr:col>0</xdr:col>
      <xdr:colOff>127000</xdr:colOff>
      <xdr:row>9</xdr:row>
      <xdr:rowOff>139700</xdr:rowOff>
    </xdr:from>
    <xdr:to>
      <xdr:col>6</xdr:col>
      <xdr:colOff>38100</xdr:colOff>
      <xdr:row>11</xdr:row>
      <xdr:rowOff>38100</xdr:rowOff>
    </xdr:to>
    <xdr:sp macro="" textlink="">
      <xdr:nvSpPr>
        <xdr:cNvPr id="10" name="nav_1">
          <a:extLst>
            <a:ext uri="{FF2B5EF4-FFF2-40B4-BE49-F238E27FC236}">
              <a16:creationId xmlns:a16="http://schemas.microsoft.com/office/drawing/2014/main" id="{85BDDC6B-C477-E50A-CEA9-C1F8738840E3}"/>
            </a:ext>
          </a:extLst>
        </xdr:cNvPr>
        <xdr:cNvSpPr/>
      </xdr:nvSpPr>
      <xdr:spPr>
        <a:xfrm>
          <a:off x="127000" y="1854200"/>
          <a:ext cx="1244600" cy="279400"/>
        </a:xfrm>
        <a:prstGeom prst="roundRect">
          <a:avLst>
            <a:gd name="adj" fmla="val 50000"/>
          </a:avLst>
        </a:prstGeom>
        <a:solidFill>
          <a:srgbClr val="FCF9F2"/>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01600" rIns="25400" rtlCol="0" anchor="ctr"/>
        <a:lstStyle/>
        <a:p>
          <a:pPr algn="l"/>
          <a:r>
            <a:rPr lang="es-CO" sz="750" b="1">
              <a:solidFill>
                <a:srgbClr val="D6A44E"/>
              </a:solidFill>
              <a:latin typeface="Segoe UI" panose="020B0502040204020203" pitchFamily="34" charset="0"/>
            </a:rPr>
            <a:t>02</a:t>
          </a:r>
          <a:r>
            <a:rPr lang="es-CO" sz="750" b="1">
              <a:solidFill>
                <a:srgbClr val="0E4D5C"/>
              </a:solidFill>
              <a:latin typeface="Segoe UI" panose="020B0502040204020203" pitchFamily="34" charset="0"/>
            </a:rPr>
            <a:t>  TABLERO</a:t>
          </a:r>
        </a:p>
      </xdr:txBody>
    </xdr:sp>
    <xdr:clientData/>
  </xdr:twoCellAnchor>
  <xdr:twoCellAnchor editAs="absolute">
    <xdr:from>
      <xdr:col>0</xdr:col>
      <xdr:colOff>127000</xdr:colOff>
      <xdr:row>11</xdr:row>
      <xdr:rowOff>114300</xdr:rowOff>
    </xdr:from>
    <xdr:to>
      <xdr:col>6</xdr:col>
      <xdr:colOff>38100</xdr:colOff>
      <xdr:row>13</xdr:row>
      <xdr:rowOff>12700</xdr:rowOff>
    </xdr:to>
    <xdr:sp macro="" textlink="">
      <xdr:nvSpPr>
        <xdr:cNvPr id="11" name="nav_2">
          <a:hlinkClick xmlns:r="http://schemas.openxmlformats.org/officeDocument/2006/relationships" r:id="rId4" tooltip="Ir a PPTO 2027"/>
          <a:extLst>
            <a:ext uri="{FF2B5EF4-FFF2-40B4-BE49-F238E27FC236}">
              <a16:creationId xmlns:a16="http://schemas.microsoft.com/office/drawing/2014/main" id="{FD31120A-BE82-35D7-6ADB-0D3D960D526F}"/>
            </a:ext>
          </a:extLst>
        </xdr:cNvPr>
        <xdr:cNvSpPr/>
      </xdr:nvSpPr>
      <xdr:spPr>
        <a:xfrm>
          <a:off x="127000" y="2209800"/>
          <a:ext cx="1244600" cy="279400"/>
        </a:xfrm>
        <a:prstGeom prst="roundRect">
          <a:avLst>
            <a:gd name="adj" fmla="val 50000"/>
          </a:avLst>
        </a:prstGeom>
        <a:solidFill>
          <a:srgbClr val="0E4D5C"/>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01600" rIns="25400" rtlCol="0" anchor="ctr"/>
        <a:lstStyle/>
        <a:p>
          <a:pPr algn="l"/>
          <a:r>
            <a:rPr lang="es-CO" sz="750" b="1">
              <a:solidFill>
                <a:srgbClr val="D6A44E"/>
              </a:solidFill>
              <a:latin typeface="Segoe UI" panose="020B0502040204020203" pitchFamily="34" charset="0"/>
            </a:rPr>
            <a:t>03</a:t>
          </a:r>
          <a:r>
            <a:rPr lang="es-CO" sz="750" b="1">
              <a:solidFill>
                <a:srgbClr val="DCCFB4"/>
              </a:solidFill>
              <a:latin typeface="Segoe UI" panose="020B0502040204020203" pitchFamily="34" charset="0"/>
            </a:rPr>
            <a:t>  PPTO 2027</a:t>
          </a:r>
        </a:p>
      </xdr:txBody>
    </xdr:sp>
    <xdr:clientData/>
  </xdr:twoCellAnchor>
  <xdr:twoCellAnchor editAs="absolute">
    <xdr:from>
      <xdr:col>0</xdr:col>
      <xdr:colOff>127000</xdr:colOff>
      <xdr:row>13</xdr:row>
      <xdr:rowOff>88900</xdr:rowOff>
    </xdr:from>
    <xdr:to>
      <xdr:col>6</xdr:col>
      <xdr:colOff>38100</xdr:colOff>
      <xdr:row>14</xdr:row>
      <xdr:rowOff>177800</xdr:rowOff>
    </xdr:to>
    <xdr:sp macro="" textlink="">
      <xdr:nvSpPr>
        <xdr:cNvPr id="12" name="nav_3">
          <a:hlinkClick xmlns:r="http://schemas.openxmlformats.org/officeDocument/2006/relationships" r:id="rId5" tooltip="Ir a Estado de resultados"/>
          <a:extLst>
            <a:ext uri="{FF2B5EF4-FFF2-40B4-BE49-F238E27FC236}">
              <a16:creationId xmlns:a16="http://schemas.microsoft.com/office/drawing/2014/main" id="{0D5156B3-836E-D27A-2875-CF64A67810B2}"/>
            </a:ext>
          </a:extLst>
        </xdr:cNvPr>
        <xdr:cNvSpPr/>
      </xdr:nvSpPr>
      <xdr:spPr>
        <a:xfrm>
          <a:off x="127000" y="2565400"/>
          <a:ext cx="1244600" cy="279400"/>
        </a:xfrm>
        <a:prstGeom prst="roundRect">
          <a:avLst>
            <a:gd name="adj" fmla="val 50000"/>
          </a:avLst>
        </a:prstGeom>
        <a:solidFill>
          <a:srgbClr val="0E4D5C"/>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01600" rIns="25400" rtlCol="0" anchor="ctr"/>
        <a:lstStyle/>
        <a:p>
          <a:pPr algn="l"/>
          <a:r>
            <a:rPr lang="es-CO" sz="750" b="1">
              <a:solidFill>
                <a:srgbClr val="D6A44E"/>
              </a:solidFill>
              <a:latin typeface="Segoe UI" panose="020B0502040204020203" pitchFamily="34" charset="0"/>
            </a:rPr>
            <a:t>04</a:t>
          </a:r>
          <a:r>
            <a:rPr lang="es-CO" sz="750" b="1">
              <a:solidFill>
                <a:srgbClr val="DCCFB4"/>
              </a:solidFill>
              <a:latin typeface="Segoe UI" panose="020B0502040204020203" pitchFamily="34" charset="0"/>
            </a:rPr>
            <a:t>  ESTADO DE RESULTADOS</a:t>
          </a:r>
        </a:p>
      </xdr:txBody>
    </xdr:sp>
    <xdr:clientData/>
  </xdr:twoCellAnchor>
  <xdr:twoCellAnchor editAs="absolute">
    <xdr:from>
      <xdr:col>0</xdr:col>
      <xdr:colOff>127000</xdr:colOff>
      <xdr:row>15</xdr:row>
      <xdr:rowOff>63500</xdr:rowOff>
    </xdr:from>
    <xdr:to>
      <xdr:col>6</xdr:col>
      <xdr:colOff>38100</xdr:colOff>
      <xdr:row>16</xdr:row>
      <xdr:rowOff>152400</xdr:rowOff>
    </xdr:to>
    <xdr:sp macro="" textlink="">
      <xdr:nvSpPr>
        <xdr:cNvPr id="13" name="nav_4">
          <a:hlinkClick xmlns:r="http://schemas.openxmlformats.org/officeDocument/2006/relationships" r:id="rId6" tooltip="Ir a Seguimiento"/>
          <a:extLst>
            <a:ext uri="{FF2B5EF4-FFF2-40B4-BE49-F238E27FC236}">
              <a16:creationId xmlns:a16="http://schemas.microsoft.com/office/drawing/2014/main" id="{7165647E-D74D-1820-F815-65B1694EFB21}"/>
            </a:ext>
          </a:extLst>
        </xdr:cNvPr>
        <xdr:cNvSpPr/>
      </xdr:nvSpPr>
      <xdr:spPr>
        <a:xfrm>
          <a:off x="127000" y="2921000"/>
          <a:ext cx="1244600" cy="279400"/>
        </a:xfrm>
        <a:prstGeom prst="roundRect">
          <a:avLst>
            <a:gd name="adj" fmla="val 50000"/>
          </a:avLst>
        </a:prstGeom>
        <a:solidFill>
          <a:srgbClr val="0E4D5C"/>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01600" rIns="25400" rtlCol="0" anchor="ctr"/>
        <a:lstStyle/>
        <a:p>
          <a:pPr algn="l"/>
          <a:r>
            <a:rPr lang="es-CO" sz="750" b="1">
              <a:solidFill>
                <a:srgbClr val="D6A44E"/>
              </a:solidFill>
              <a:latin typeface="Segoe UI" panose="020B0502040204020203" pitchFamily="34" charset="0"/>
            </a:rPr>
            <a:t>05</a:t>
          </a:r>
          <a:r>
            <a:rPr lang="es-CO" sz="750" b="1">
              <a:solidFill>
                <a:srgbClr val="DCCFB4"/>
              </a:solidFill>
              <a:latin typeface="Segoe UI" panose="020B0502040204020203" pitchFamily="34" charset="0"/>
            </a:rPr>
            <a:t>  SEGUIMIENTO</a:t>
          </a:r>
        </a:p>
      </xdr:txBody>
    </xdr:sp>
    <xdr:clientData/>
  </xdr:twoCellAnchor>
  <xdr:twoCellAnchor editAs="absolute">
    <xdr:from>
      <xdr:col>0</xdr:col>
      <xdr:colOff>127000</xdr:colOff>
      <xdr:row>82</xdr:row>
      <xdr:rowOff>0</xdr:rowOff>
    </xdr:from>
    <xdr:to>
      <xdr:col>6</xdr:col>
      <xdr:colOff>38100</xdr:colOff>
      <xdr:row>84</xdr:row>
      <xdr:rowOff>50800</xdr:rowOff>
    </xdr:to>
    <xdr:sp macro="" textlink="">
      <xdr:nvSpPr>
        <xdr:cNvPr id="14" name="pie_rail">
          <a:extLst>
            <a:ext uri="{FF2B5EF4-FFF2-40B4-BE49-F238E27FC236}">
              <a16:creationId xmlns:a16="http://schemas.microsoft.com/office/drawing/2014/main" id="{9012E494-ADAD-219E-1AC0-BB5DA71EC306}"/>
            </a:ext>
          </a:extLst>
        </xdr:cNvPr>
        <xdr:cNvSpPr txBox="1"/>
      </xdr:nvSpPr>
      <xdr:spPr>
        <a:xfrm>
          <a:off x="127000" y="15621000"/>
          <a:ext cx="12446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ctr"/>
          <a:r>
            <a:rPr lang="es-CO" sz="700" b="0">
              <a:solidFill>
                <a:srgbClr val="DCCFB4"/>
              </a:solidFill>
              <a:latin typeface="Segoe UI" panose="020B0502040204020203" pitchFamily="34" charset="0"/>
            </a:rPr>
            <a:t>Plantilla gratuita
Datos de ejemplo</a:t>
          </a:r>
        </a:p>
      </xdr:txBody>
    </xdr:sp>
    <xdr:clientData/>
  </xdr:twoCellAnchor>
  <xdr:twoCellAnchor editAs="absolute">
    <xdr:from>
      <xdr:col>8</xdr:col>
      <xdr:colOff>50800</xdr:colOff>
      <xdr:row>0</xdr:row>
      <xdr:rowOff>177800</xdr:rowOff>
    </xdr:from>
    <xdr:to>
      <xdr:col>40</xdr:col>
      <xdr:colOff>50800</xdr:colOff>
      <xdr:row>2</xdr:row>
      <xdr:rowOff>127000</xdr:rowOff>
    </xdr:to>
    <xdr:sp macro="" textlink="">
      <xdr:nvSpPr>
        <xdr:cNvPr id="15" name="titulo">
          <a:extLst>
            <a:ext uri="{FF2B5EF4-FFF2-40B4-BE49-F238E27FC236}">
              <a16:creationId xmlns:a16="http://schemas.microsoft.com/office/drawing/2014/main" id="{390E7594-AD82-06E3-7305-BCB7A05ED157}"/>
            </a:ext>
          </a:extLst>
        </xdr:cNvPr>
        <xdr:cNvSpPr txBox="1"/>
      </xdr:nvSpPr>
      <xdr:spPr>
        <a:xfrm>
          <a:off x="1828800" y="177800"/>
          <a:ext cx="7112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2000" b="1">
              <a:solidFill>
                <a:srgbClr val="14110C"/>
              </a:solidFill>
              <a:latin typeface="Segoe UI" panose="020B0502040204020203" pitchFamily="34" charset="0"/>
            </a:rPr>
            <a:t>PRESUPUESTO 2027 VS. REAL 2026</a:t>
          </a:r>
        </a:p>
      </xdr:txBody>
    </xdr:sp>
    <xdr:clientData/>
  </xdr:twoCellAnchor>
  <xdr:twoCellAnchor editAs="absolute">
    <xdr:from>
      <xdr:col>8</xdr:col>
      <xdr:colOff>50800</xdr:colOff>
      <xdr:row>2</xdr:row>
      <xdr:rowOff>177800</xdr:rowOff>
    </xdr:from>
    <xdr:to>
      <xdr:col>57</xdr:col>
      <xdr:colOff>31750</xdr:colOff>
      <xdr:row>3</xdr:row>
      <xdr:rowOff>165100</xdr:rowOff>
    </xdr:to>
    <xdr:sp macro="" textlink="Calculos!$BY$57">
      <xdr:nvSpPr>
        <xdr:cNvPr id="16" name="subtitulo">
          <a:extLst>
            <a:ext uri="{FF2B5EF4-FFF2-40B4-BE49-F238E27FC236}">
              <a16:creationId xmlns:a16="http://schemas.microsoft.com/office/drawing/2014/main" id="{87A85350-9771-F73D-C71C-F751A666613D}"/>
            </a:ext>
          </a:extLst>
        </xdr:cNvPr>
        <xdr:cNvSpPr txBox="1"/>
      </xdr:nvSpPr>
      <xdr:spPr>
        <a:xfrm>
          <a:off x="1828800" y="558800"/>
          <a:ext cx="108712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fld id="{794223B2-94C0-4CF8-8FC8-48387A925DB4}" type="TxLink">
            <a:rPr lang="en-US" sz="850" b="0" i="0" u="none" strike="noStrike">
              <a:solidFill>
                <a:srgbClr val="6E675C"/>
              </a:solidFill>
              <a:latin typeface="Segoe UI" panose="020B0502040204020203" pitchFamily="34" charset="0"/>
              <a:cs typeface="Segoe UI"/>
            </a:rPr>
            <a:pPr algn="l"/>
            <a:t>Distribuidora Altamira S.A.S.  ·  presupuesto 2027 contra real 2026  ·  cifras en pesos colombianos</a:t>
          </a:fld>
          <a:endParaRPr lang="es-CO" sz="850" b="0">
            <a:solidFill>
              <a:srgbClr val="6E675C"/>
            </a:solidFill>
            <a:latin typeface="Segoe UI" panose="020B0502040204020203" pitchFamily="34" charset="0"/>
          </a:endParaRPr>
        </a:p>
      </xdr:txBody>
    </xdr:sp>
    <xdr:clientData/>
  </xdr:twoCellAnchor>
  <xdr:twoCellAnchor editAs="absolute">
    <xdr:from>
      <xdr:col>40</xdr:col>
      <xdr:colOff>0</xdr:colOff>
      <xdr:row>1</xdr:row>
      <xdr:rowOff>88900</xdr:rowOff>
    </xdr:from>
    <xdr:to>
      <xdr:col>57</xdr:col>
      <xdr:colOff>31750</xdr:colOff>
      <xdr:row>2</xdr:row>
      <xdr:rowOff>76200</xdr:rowOff>
    </xdr:to>
    <xdr:sp macro="" textlink="">
      <xdr:nvSpPr>
        <xdr:cNvPr id="17" name="fuente">
          <a:extLst>
            <a:ext uri="{FF2B5EF4-FFF2-40B4-BE49-F238E27FC236}">
              <a16:creationId xmlns:a16="http://schemas.microsoft.com/office/drawing/2014/main" id="{530450B9-FF68-EAFB-302F-84B91B510508}"/>
            </a:ext>
          </a:extLst>
        </xdr:cNvPr>
        <xdr:cNvSpPr txBox="1"/>
      </xdr:nvSpPr>
      <xdr:spPr>
        <a:xfrm>
          <a:off x="8890000" y="279400"/>
          <a:ext cx="3810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r"/>
          <a:r>
            <a:rPr lang="es-CO" sz="750" b="0">
              <a:solidFill>
                <a:srgbClr val="6E675C"/>
              </a:solidFill>
              <a:latin typeface="Segoe UI" panose="020B0502040204020203" pitchFamily="34" charset="0"/>
            </a:rPr>
            <a:t>Real 2026 = ene-ago real + sep-dic estimado · datos de ejemplo</a:t>
          </a:r>
        </a:p>
      </xdr:txBody>
    </xdr:sp>
    <xdr:clientData/>
  </xdr:twoCellAnchor>
  <xdr:twoCellAnchor editAs="absolute">
    <xdr:from>
      <xdr:col>8</xdr:col>
      <xdr:colOff>50800</xdr:colOff>
      <xdr:row>4</xdr:row>
      <xdr:rowOff>50800</xdr:rowOff>
    </xdr:from>
    <xdr:to>
      <xdr:col>57</xdr:col>
      <xdr:colOff>31750</xdr:colOff>
      <xdr:row>4</xdr:row>
      <xdr:rowOff>50800</xdr:rowOff>
    </xdr:to>
    <xdr:cxnSp macro="">
      <xdr:nvCxnSpPr>
        <xdr:cNvPr id="18" name="filete_enc">
          <a:extLst>
            <a:ext uri="{FF2B5EF4-FFF2-40B4-BE49-F238E27FC236}">
              <a16:creationId xmlns:a16="http://schemas.microsoft.com/office/drawing/2014/main" id="{C04FE27A-8B3F-FAEF-3E33-623FE83069B7}"/>
            </a:ext>
          </a:extLst>
        </xdr:cNvPr>
        <xdr:cNvCxnSpPr/>
      </xdr:nvCxnSpPr>
      <xdr:spPr>
        <a:xfrm>
          <a:off x="1828800" y="812800"/>
          <a:ext cx="10871200" cy="0"/>
        </a:xfrm>
        <a:prstGeom prst="line">
          <a:avLst/>
        </a:prstGeom>
        <a:ln w="19050">
          <a:solidFill>
            <a:srgbClr val="8F641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8</xdr:col>
      <xdr:colOff>203200</xdr:colOff>
      <xdr:row>8</xdr:row>
      <xdr:rowOff>25400</xdr:rowOff>
    </xdr:from>
    <xdr:to>
      <xdr:col>30</xdr:col>
      <xdr:colOff>88900</xdr:colOff>
      <xdr:row>9</xdr:row>
      <xdr:rowOff>12700</xdr:rowOff>
    </xdr:to>
    <xdr:sp macro="" textlink="Calculos!$BY$55">
      <xdr:nvSpPr>
        <xdr:cNvPr id="20" name="kp_tit">
          <a:extLst>
            <a:ext uri="{FF2B5EF4-FFF2-40B4-BE49-F238E27FC236}">
              <a16:creationId xmlns:a16="http://schemas.microsoft.com/office/drawing/2014/main" id="{E2CF5A58-A4DE-B31B-F431-891BCBDD04BE}"/>
            </a:ext>
          </a:extLst>
        </xdr:cNvPr>
        <xdr:cNvSpPr txBox="1"/>
      </xdr:nvSpPr>
      <xdr:spPr>
        <a:xfrm>
          <a:off x="1981200" y="1549400"/>
          <a:ext cx="47752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fld id="{3AADCFDC-2F3F-4FDE-A018-290B2FA53E9E}" type="TxLink">
            <a:rPr lang="en-US" sz="1050" b="1" i="0" u="none" strike="noStrike">
              <a:solidFill>
                <a:srgbClr val="14110C"/>
              </a:solidFill>
              <a:latin typeface="Segoe UI" panose="020B0502040204020203" pitchFamily="34" charset="0"/>
              <a:cs typeface="Segoe UI"/>
            </a:rPr>
            <a:pPr algn="l"/>
            <a:t>Ingresos · presupuesto 2027</a:t>
          </a:fld>
          <a:endParaRPr lang="es-CO" sz="1050" b="1">
            <a:solidFill>
              <a:srgbClr val="14110C"/>
            </a:solidFill>
            <a:latin typeface="Segoe UI" panose="020B0502040204020203" pitchFamily="34" charset="0"/>
          </a:endParaRPr>
        </a:p>
      </xdr:txBody>
    </xdr:sp>
    <xdr:clientData/>
  </xdr:twoCellAnchor>
  <xdr:twoCellAnchor editAs="absolute">
    <xdr:from>
      <xdr:col>30</xdr:col>
      <xdr:colOff>190500</xdr:colOff>
      <xdr:row>8</xdr:row>
      <xdr:rowOff>25400</xdr:rowOff>
    </xdr:from>
    <xdr:to>
      <xdr:col>31</xdr:col>
      <xdr:colOff>133350</xdr:colOff>
      <xdr:row>9</xdr:row>
      <xdr:rowOff>0</xdr:rowOff>
    </xdr:to>
    <xdr:sp macro="" textlink="">
      <xdr:nvSpPr>
        <xdr:cNvPr id="21" name="kp_info">
          <a:hlinkClick xmlns:r="http://schemas.openxmlformats.org/officeDocument/2006/relationships" r:id="rId7" tooltip="Como se calcula: presupuesto 2027 de la linea elegida en las pestanas (suma de sus cuentas, 12 meses) y su variacion contra el real 2026. Verde/rojo: un ingreso que crece es favorable; un costo o gasto es desfavorable si crece mas rapido que los ingresos. Que decision informa: si el presupuesto de esa linea es coherente con el crecimiento en ventas."/>
          <a:extLst>
            <a:ext uri="{FF2B5EF4-FFF2-40B4-BE49-F238E27FC236}">
              <a16:creationId xmlns:a16="http://schemas.microsoft.com/office/drawing/2014/main" id="{C0E2F07C-1279-A1F8-0C60-62093A04B2E3}"/>
            </a:ext>
          </a:extLst>
        </xdr:cNvPr>
        <xdr:cNvSpPr/>
      </xdr:nvSpPr>
      <xdr:spPr>
        <a:xfrm>
          <a:off x="6858000" y="1549400"/>
          <a:ext cx="165100" cy="165100"/>
        </a:xfrm>
        <a:prstGeom prst="roundRect">
          <a:avLst>
            <a:gd name="adj" fmla="val 46154"/>
          </a:avLst>
        </a:prstGeom>
        <a:solidFill>
          <a:srgbClr val="FFFDF8"/>
        </a:solidFill>
        <a:ln w="9525">
          <a:solidFill>
            <a:srgbClr val="C6BB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s-CO" sz="800" i="1">
              <a:solidFill>
                <a:srgbClr val="6E675C"/>
              </a:solidFill>
              <a:latin typeface="Georgia" panose="02040502050405020303" pitchFamily="18" charset="0"/>
            </a:rPr>
            <a:t>i</a:t>
          </a:r>
        </a:p>
      </xdr:txBody>
    </xdr:sp>
    <xdr:clientData/>
  </xdr:twoCellAnchor>
  <xdr:twoCellAnchor editAs="absolute">
    <xdr:from>
      <xdr:col>8</xdr:col>
      <xdr:colOff>203200</xdr:colOff>
      <xdr:row>9</xdr:row>
      <xdr:rowOff>38100</xdr:rowOff>
    </xdr:from>
    <xdr:to>
      <xdr:col>18</xdr:col>
      <xdr:colOff>12700</xdr:colOff>
      <xdr:row>10</xdr:row>
      <xdr:rowOff>177800</xdr:rowOff>
    </xdr:to>
    <xdr:sp macro="" textlink="Calculos!$BY$48">
      <xdr:nvSpPr>
        <xdr:cNvPr id="22" name="kp_cifra">
          <a:extLst>
            <a:ext uri="{FF2B5EF4-FFF2-40B4-BE49-F238E27FC236}">
              <a16:creationId xmlns:a16="http://schemas.microsoft.com/office/drawing/2014/main" id="{7BF839BF-D86C-23AB-55C4-C0718A20DA1B}"/>
            </a:ext>
          </a:extLst>
        </xdr:cNvPr>
        <xdr:cNvSpPr txBox="1"/>
      </xdr:nvSpPr>
      <xdr:spPr>
        <a:xfrm>
          <a:off x="1981200" y="1752600"/>
          <a:ext cx="2032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fld id="{A36001DD-1807-40FD-9A13-04F2A5E4F747}" type="TxLink">
            <a:rPr lang="en-US" sz="1900" b="1" i="0" u="none" strike="noStrike">
              <a:solidFill>
                <a:srgbClr val="14110C"/>
              </a:solidFill>
              <a:latin typeface="Consolas" panose="020B0609020204030204" pitchFamily="49" charset="0"/>
              <a:cs typeface="Segoe UI"/>
            </a:rPr>
            <a:pPr algn="l"/>
            <a:t>13.656.600.000</a:t>
          </a:fld>
          <a:endParaRPr lang="es-CO" sz="1900" b="1">
            <a:solidFill>
              <a:srgbClr val="14110C"/>
            </a:solidFill>
            <a:latin typeface="Consolas" panose="020B0609020204030204" pitchFamily="49" charset="0"/>
          </a:endParaRPr>
        </a:p>
      </xdr:txBody>
    </xdr:sp>
    <xdr:clientData/>
  </xdr:twoCellAnchor>
  <xdr:twoCellAnchor editAs="absolute">
    <xdr:from>
      <xdr:col>18</xdr:col>
      <xdr:colOff>88900</xdr:colOff>
      <xdr:row>9</xdr:row>
      <xdr:rowOff>88900</xdr:rowOff>
    </xdr:from>
    <xdr:to>
      <xdr:col>30</xdr:col>
      <xdr:colOff>190500</xdr:colOff>
      <xdr:row>10</xdr:row>
      <xdr:rowOff>127000</xdr:rowOff>
    </xdr:to>
    <xdr:sp macro="" textlink="">
      <xdr:nvSpPr>
        <xdr:cNvPr id="23" name="kp_pill">
          <a:extLst>
            <a:ext uri="{FF2B5EF4-FFF2-40B4-BE49-F238E27FC236}">
              <a16:creationId xmlns:a16="http://schemas.microsoft.com/office/drawing/2014/main" id="{EDBD8A04-5A77-4242-6D87-ACA574218250}"/>
            </a:ext>
          </a:extLst>
        </xdr:cNvPr>
        <xdr:cNvSpPr/>
      </xdr:nvSpPr>
      <xdr:spPr>
        <a:xfrm>
          <a:off x="4089400" y="1803400"/>
          <a:ext cx="2768600" cy="228600"/>
        </a:xfrm>
        <a:prstGeom prst="roundRect">
          <a:avLst>
            <a:gd name="adj" fmla="val 50000"/>
          </a:avLst>
        </a:prstGeom>
        <a:solidFill>
          <a:srgbClr val="FCF9F2"/>
        </a:solidFill>
        <a:ln w="9525">
          <a:solidFill>
            <a:srgbClr val="C6BB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absolute">
    <xdr:from>
      <xdr:col>18</xdr:col>
      <xdr:colOff>88900</xdr:colOff>
      <xdr:row>9</xdr:row>
      <xdr:rowOff>139700</xdr:rowOff>
    </xdr:from>
    <xdr:to>
      <xdr:col>30</xdr:col>
      <xdr:colOff>190500</xdr:colOff>
      <xdr:row>10</xdr:row>
      <xdr:rowOff>101600</xdr:rowOff>
    </xdr:to>
    <xdr:sp macro="" textlink="Calculos!$BY$53">
      <xdr:nvSpPr>
        <xdr:cNvPr id="24" name="kp_pill_fav">
          <a:extLst>
            <a:ext uri="{FF2B5EF4-FFF2-40B4-BE49-F238E27FC236}">
              <a16:creationId xmlns:a16="http://schemas.microsoft.com/office/drawing/2014/main" id="{32B493AD-BA46-C569-2E82-7B528E55DE67}"/>
            </a:ext>
          </a:extLst>
        </xdr:cNvPr>
        <xdr:cNvSpPr txBox="1"/>
      </xdr:nvSpPr>
      <xdr:spPr>
        <a:xfrm>
          <a:off x="4089400" y="1854200"/>
          <a:ext cx="27686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ctr"/>
          <a:fld id="{CE979291-CE90-4A4D-B299-40CF515A656B}" type="TxLink">
            <a:rPr lang="en-US" sz="800" b="1" i="0" u="none" strike="noStrike">
              <a:solidFill>
                <a:srgbClr val="14776B"/>
              </a:solidFill>
              <a:latin typeface="Consolas" panose="020B0609020204030204" pitchFamily="49" charset="0"/>
              <a:cs typeface="Segoe UI"/>
            </a:rPr>
            <a:pPr algn="ctr"/>
            <a:t>+1.656.600.000  |  +13,8%</a:t>
          </a:fld>
          <a:endParaRPr lang="es-CO" sz="800" b="1">
            <a:solidFill>
              <a:srgbClr val="14776B"/>
            </a:solidFill>
            <a:latin typeface="Consolas" panose="020B0609020204030204" pitchFamily="49" charset="0"/>
          </a:endParaRPr>
        </a:p>
      </xdr:txBody>
    </xdr:sp>
    <xdr:clientData/>
  </xdr:twoCellAnchor>
  <xdr:twoCellAnchor editAs="absolute">
    <xdr:from>
      <xdr:col>18</xdr:col>
      <xdr:colOff>88900</xdr:colOff>
      <xdr:row>9</xdr:row>
      <xdr:rowOff>139700</xdr:rowOff>
    </xdr:from>
    <xdr:to>
      <xdr:col>30</xdr:col>
      <xdr:colOff>190500</xdr:colOff>
      <xdr:row>10</xdr:row>
      <xdr:rowOff>101600</xdr:rowOff>
    </xdr:to>
    <xdr:sp macro="" textlink="Calculos!$BY$54">
      <xdr:nvSpPr>
        <xdr:cNvPr id="25" name="kp_pill_des">
          <a:extLst>
            <a:ext uri="{FF2B5EF4-FFF2-40B4-BE49-F238E27FC236}">
              <a16:creationId xmlns:a16="http://schemas.microsoft.com/office/drawing/2014/main" id="{3B2D0F67-D3B4-2D85-2F0E-9F2BFE37B7F6}"/>
            </a:ext>
          </a:extLst>
        </xdr:cNvPr>
        <xdr:cNvSpPr txBox="1"/>
      </xdr:nvSpPr>
      <xdr:spPr>
        <a:xfrm>
          <a:off x="4089400" y="1854200"/>
          <a:ext cx="27686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ctr"/>
          <a:fld id="{A79CC16E-6D7E-4354-BAD9-97CAB97F94B4}" type="TxLink">
            <a:rPr lang="en-US" sz="800" b="1" i="0" u="none" strike="noStrike">
              <a:solidFill>
                <a:srgbClr val="9C5142"/>
              </a:solidFill>
              <a:latin typeface="Consolas" panose="020B0609020204030204" pitchFamily="49" charset="0"/>
              <a:cs typeface="Segoe UI"/>
            </a:rPr>
            <a:pPr algn="ctr"/>
            <a:t> </a:t>
          </a:fld>
          <a:endParaRPr lang="es-CO" sz="800" b="1">
            <a:solidFill>
              <a:srgbClr val="9C5142"/>
            </a:solidFill>
            <a:latin typeface="Consolas" panose="020B0609020204030204" pitchFamily="49" charset="0"/>
          </a:endParaRPr>
        </a:p>
      </xdr:txBody>
    </xdr:sp>
    <xdr:clientData/>
  </xdr:twoCellAnchor>
  <xdr:twoCellAnchor editAs="absolute">
    <xdr:from>
      <xdr:col>8</xdr:col>
      <xdr:colOff>203200</xdr:colOff>
      <xdr:row>11</xdr:row>
      <xdr:rowOff>38100</xdr:rowOff>
    </xdr:from>
    <xdr:to>
      <xdr:col>31</xdr:col>
      <xdr:colOff>120650</xdr:colOff>
      <xdr:row>12</xdr:row>
      <xdr:rowOff>0</xdr:rowOff>
    </xdr:to>
    <xdr:sp macro="" textlink="Calculos!$BY$56">
      <xdr:nvSpPr>
        <xdr:cNvPr id="26" name="kp_ppto">
          <a:extLst>
            <a:ext uri="{FF2B5EF4-FFF2-40B4-BE49-F238E27FC236}">
              <a16:creationId xmlns:a16="http://schemas.microsoft.com/office/drawing/2014/main" id="{31DFCEEB-0B69-2B56-F52D-CC6C75336FE5}"/>
            </a:ext>
          </a:extLst>
        </xdr:cNvPr>
        <xdr:cNvSpPr txBox="1"/>
      </xdr:nvSpPr>
      <xdr:spPr>
        <a:xfrm>
          <a:off x="1981200" y="2133600"/>
          <a:ext cx="50292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fld id="{6C0BF593-0188-4283-AD17-EB8CBA0CCD52}" type="TxLink">
            <a:rPr lang="en-US" sz="800" b="0" i="0" u="none" strike="noStrike">
              <a:solidFill>
                <a:srgbClr val="6E675C"/>
              </a:solidFill>
              <a:latin typeface="Segoe UI" panose="020B0502040204020203" pitchFamily="34" charset="0"/>
              <a:cs typeface="Segoe UI"/>
            </a:rPr>
            <a:pPr algn="l"/>
            <a:t>Real 2026: $12.000.000.000</a:t>
          </a:fld>
          <a:endParaRPr lang="es-CO" sz="800" b="0">
            <a:solidFill>
              <a:srgbClr val="6E675C"/>
            </a:solidFill>
            <a:latin typeface="Segoe UI" panose="020B0502040204020203" pitchFamily="34" charset="0"/>
          </a:endParaRPr>
        </a:p>
      </xdr:txBody>
    </xdr:sp>
    <xdr:clientData/>
  </xdr:twoCellAnchor>
  <xdr:twoCellAnchor editAs="absolute">
    <xdr:from>
      <xdr:col>8</xdr:col>
      <xdr:colOff>203200</xdr:colOff>
      <xdr:row>12</xdr:row>
      <xdr:rowOff>76200</xdr:rowOff>
    </xdr:from>
    <xdr:to>
      <xdr:col>31</xdr:col>
      <xdr:colOff>120650</xdr:colOff>
      <xdr:row>12</xdr:row>
      <xdr:rowOff>76200</xdr:rowOff>
    </xdr:to>
    <xdr:cxnSp macro="">
      <xdr:nvCxnSpPr>
        <xdr:cNvPr id="27" name="kp_filete">
          <a:extLst>
            <a:ext uri="{FF2B5EF4-FFF2-40B4-BE49-F238E27FC236}">
              <a16:creationId xmlns:a16="http://schemas.microsoft.com/office/drawing/2014/main" id="{F146FD30-5326-AB02-3E03-CBA7EE4C0F2B}"/>
            </a:ext>
          </a:extLst>
        </xdr:cNvPr>
        <xdr:cNvCxnSpPr/>
      </xdr:nvCxnSpPr>
      <xdr:spPr>
        <a:xfrm>
          <a:off x="1981200" y="2362200"/>
          <a:ext cx="5029200" cy="0"/>
        </a:xfrm>
        <a:prstGeom prst="line">
          <a:avLst/>
        </a:prstGeom>
        <a:ln w="9525">
          <a:solidFill>
            <a:srgbClr val="DCCFB4"/>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8</xdr:col>
      <xdr:colOff>203200</xdr:colOff>
      <xdr:row>12</xdr:row>
      <xdr:rowOff>152400</xdr:rowOff>
    </xdr:from>
    <xdr:to>
      <xdr:col>31</xdr:col>
      <xdr:colOff>120650</xdr:colOff>
      <xdr:row>14</xdr:row>
      <xdr:rowOff>76200</xdr:rowOff>
    </xdr:to>
    <xdr:sp macro="" textlink="">
      <xdr:nvSpPr>
        <xdr:cNvPr id="28" name="kp_pie">
          <a:extLst>
            <a:ext uri="{FF2B5EF4-FFF2-40B4-BE49-F238E27FC236}">
              <a16:creationId xmlns:a16="http://schemas.microsoft.com/office/drawing/2014/main" id="{E413293F-3C91-0C82-7CC1-C5D32A3AB368}"/>
            </a:ext>
          </a:extLst>
        </xdr:cNvPr>
        <xdr:cNvSpPr txBox="1"/>
      </xdr:nvSpPr>
      <xdr:spPr>
        <a:xfrm>
          <a:off x="1981200" y="2438400"/>
          <a:ext cx="5029200" cy="304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700" b="0">
              <a:solidFill>
                <a:srgbClr val="6E675C"/>
              </a:solidFill>
              <a:latin typeface="Segoe UI" panose="020B0502040204020203" pitchFamily="34" charset="0"/>
            </a:rPr>
            <a:t>Pestañas = línea del P&amp;G · cifra = presupuesto 2027 · píldora = variación contra 2026</a:t>
          </a:r>
        </a:p>
      </xdr:txBody>
    </xdr:sp>
    <xdr:clientData/>
  </xdr:twoCellAnchor>
  <xdr:twoCellAnchor editAs="absolute">
    <xdr:from>
      <xdr:col>33</xdr:col>
      <xdr:colOff>31750</xdr:colOff>
      <xdr:row>5</xdr:row>
      <xdr:rowOff>12700</xdr:rowOff>
    </xdr:from>
    <xdr:to>
      <xdr:col>57</xdr:col>
      <xdr:colOff>31750</xdr:colOff>
      <xdr:row>18</xdr:row>
      <xdr:rowOff>139700</xdr:rowOff>
    </xdr:to>
    <xdr:sp macro="" textlink="">
      <xdr:nvSpPr>
        <xdr:cNvPr id="29" name="k_cascada">
          <a:extLst>
            <a:ext uri="{FF2B5EF4-FFF2-40B4-BE49-F238E27FC236}">
              <a16:creationId xmlns:a16="http://schemas.microsoft.com/office/drawing/2014/main" id="{E641AE1F-0C91-D5B4-0C63-5FF63E7B6F04}"/>
            </a:ext>
          </a:extLst>
        </xdr:cNvPr>
        <xdr:cNvSpPr/>
      </xdr:nvSpPr>
      <xdr:spPr>
        <a:xfrm>
          <a:off x="7366000" y="965200"/>
          <a:ext cx="5334000" cy="2603500"/>
        </a:xfrm>
        <a:prstGeom prst="roundRect">
          <a:avLst>
            <a:gd name="adj" fmla="val 6829"/>
          </a:avLst>
        </a:prstGeom>
        <a:solidFill>
          <a:srgbClr val="FFFDF8"/>
        </a:solidFill>
        <a:ln w="9525">
          <a:solidFill>
            <a:srgbClr val="C6BB98"/>
          </a:solidFill>
        </a:ln>
        <a:effectLst>
          <a:outerShdw blurRad="177800" dist="63500" dir="5400000" rotWithShape="0">
            <a:srgbClr val="14110C">
              <a:alpha val="1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absolute">
    <xdr:from>
      <xdr:col>33</xdr:col>
      <xdr:colOff>209550</xdr:colOff>
      <xdr:row>5</xdr:row>
      <xdr:rowOff>139700</xdr:rowOff>
    </xdr:from>
    <xdr:to>
      <xdr:col>54</xdr:col>
      <xdr:colOff>114300</xdr:colOff>
      <xdr:row>6</xdr:row>
      <xdr:rowOff>127000</xdr:rowOff>
    </xdr:to>
    <xdr:sp macro="" textlink="">
      <xdr:nvSpPr>
        <xdr:cNvPr id="30" name="k_cascada_tit">
          <a:extLst>
            <a:ext uri="{FF2B5EF4-FFF2-40B4-BE49-F238E27FC236}">
              <a16:creationId xmlns:a16="http://schemas.microsoft.com/office/drawing/2014/main" id="{D63EDDF7-1E72-FF84-4A66-9D428E4FDCE6}"/>
            </a:ext>
          </a:extLst>
        </xdr:cNvPr>
        <xdr:cNvSpPr txBox="1"/>
      </xdr:nvSpPr>
      <xdr:spPr>
        <a:xfrm>
          <a:off x="7543800" y="1092200"/>
          <a:ext cx="4572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1000" b="1">
              <a:solidFill>
                <a:srgbClr val="14110C"/>
              </a:solidFill>
              <a:latin typeface="Segoe UI" panose="020B0502040204020203" pitchFamily="34" charset="0"/>
            </a:rPr>
            <a:t>¿De dónde sale la utilidad del 2027?</a:t>
          </a:r>
        </a:p>
      </xdr:txBody>
    </xdr:sp>
    <xdr:clientData/>
  </xdr:twoCellAnchor>
  <xdr:twoCellAnchor editAs="absolute">
    <xdr:from>
      <xdr:col>55</xdr:col>
      <xdr:colOff>171450</xdr:colOff>
      <xdr:row>5</xdr:row>
      <xdr:rowOff>139700</xdr:rowOff>
    </xdr:from>
    <xdr:to>
      <xdr:col>56</xdr:col>
      <xdr:colOff>114300</xdr:colOff>
      <xdr:row>6</xdr:row>
      <xdr:rowOff>114300</xdr:rowOff>
    </xdr:to>
    <xdr:sp macro="" textlink="">
      <xdr:nvSpPr>
        <xdr:cNvPr id="31" name="kc_info">
          <a:hlinkClick xmlns:r="http://schemas.openxmlformats.org/officeDocument/2006/relationships" r:id="rId7" tooltip="Como se calcula: parte de la utilidad neta 2026 y suma el cambio de cada bloque del P&amp;G (ingresos, costo de ventas, gastos operativos, financieros y otros, impuesto) hasta la utilidad neta 2027. Millones de pesos. Que decision informa: que palanca explica el crecimiento y cual se come el margen."/>
          <a:extLst>
            <a:ext uri="{FF2B5EF4-FFF2-40B4-BE49-F238E27FC236}">
              <a16:creationId xmlns:a16="http://schemas.microsoft.com/office/drawing/2014/main" id="{98D7477E-8A22-506D-7FED-9FB56AAA4C7D}"/>
            </a:ext>
          </a:extLst>
        </xdr:cNvPr>
        <xdr:cNvSpPr/>
      </xdr:nvSpPr>
      <xdr:spPr>
        <a:xfrm>
          <a:off x="12395200" y="1092200"/>
          <a:ext cx="165100" cy="165100"/>
        </a:xfrm>
        <a:prstGeom prst="roundRect">
          <a:avLst>
            <a:gd name="adj" fmla="val 46154"/>
          </a:avLst>
        </a:prstGeom>
        <a:solidFill>
          <a:srgbClr val="FFFDF8"/>
        </a:solidFill>
        <a:ln w="9525">
          <a:solidFill>
            <a:srgbClr val="C6BB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s-CO" sz="800" i="1">
              <a:solidFill>
                <a:srgbClr val="6E675C"/>
              </a:solidFill>
              <a:latin typeface="Georgia" panose="02040502050405020303" pitchFamily="18" charset="0"/>
            </a:rPr>
            <a:t>i</a:t>
          </a:r>
        </a:p>
      </xdr:txBody>
    </xdr:sp>
    <xdr:clientData/>
  </xdr:twoCellAnchor>
  <xdr:twoCellAnchor editAs="absolute">
    <xdr:from>
      <xdr:col>33</xdr:col>
      <xdr:colOff>209550</xdr:colOff>
      <xdr:row>6</xdr:row>
      <xdr:rowOff>165100</xdr:rowOff>
    </xdr:from>
    <xdr:to>
      <xdr:col>54</xdr:col>
      <xdr:colOff>114300</xdr:colOff>
      <xdr:row>7</xdr:row>
      <xdr:rowOff>127000</xdr:rowOff>
    </xdr:to>
    <xdr:sp macro="" textlink="">
      <xdr:nvSpPr>
        <xdr:cNvPr id="32" name="kc_cap">
          <a:extLst>
            <a:ext uri="{FF2B5EF4-FFF2-40B4-BE49-F238E27FC236}">
              <a16:creationId xmlns:a16="http://schemas.microsoft.com/office/drawing/2014/main" id="{08886350-5AAB-4EC8-3346-758C52C1E36E}"/>
            </a:ext>
          </a:extLst>
        </xdr:cNvPr>
        <xdr:cNvSpPr txBox="1"/>
      </xdr:nvSpPr>
      <xdr:spPr>
        <a:xfrm>
          <a:off x="7543800" y="1308100"/>
          <a:ext cx="4572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700" b="0">
              <a:solidFill>
                <a:srgbClr val="6E675C"/>
              </a:solidFill>
              <a:latin typeface="Segoe UI" panose="020B0502040204020203" pitchFamily="34" charset="0"/>
            </a:rPr>
            <a:t>Millones de pesos · verde suma utilidad · rojo la resta</a:t>
          </a:r>
        </a:p>
      </xdr:txBody>
    </xdr:sp>
    <xdr:clientData/>
  </xdr:twoCellAnchor>
  <xdr:twoCellAnchor editAs="absolute">
    <xdr:from>
      <xdr:col>33</xdr:col>
      <xdr:colOff>158750</xdr:colOff>
      <xdr:row>7</xdr:row>
      <xdr:rowOff>165100</xdr:rowOff>
    </xdr:from>
    <xdr:to>
      <xdr:col>56</xdr:col>
      <xdr:colOff>127000</xdr:colOff>
      <xdr:row>16</xdr:row>
      <xdr:rowOff>38100</xdr:rowOff>
    </xdr:to>
    <xdr:graphicFrame macro="">
      <xdr:nvGraphicFramePr>
        <xdr:cNvPr id="33" name="ch_cascada">
          <a:extLst>
            <a:ext uri="{FF2B5EF4-FFF2-40B4-BE49-F238E27FC236}">
              <a16:creationId xmlns:a16="http://schemas.microsoft.com/office/drawing/2014/main" id="{479B3B23-CDB2-AE77-4FF9-6515D886B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33</xdr:col>
      <xdr:colOff>209550</xdr:colOff>
      <xdr:row>16</xdr:row>
      <xdr:rowOff>139700</xdr:rowOff>
    </xdr:from>
    <xdr:to>
      <xdr:col>56</xdr:col>
      <xdr:colOff>76200</xdr:colOff>
      <xdr:row>18</xdr:row>
      <xdr:rowOff>88900</xdr:rowOff>
    </xdr:to>
    <xdr:sp macro="" textlink="Calculos!$BY$58">
      <xdr:nvSpPr>
        <xdr:cNvPr id="34" name="kc_narr">
          <a:extLst>
            <a:ext uri="{FF2B5EF4-FFF2-40B4-BE49-F238E27FC236}">
              <a16:creationId xmlns:a16="http://schemas.microsoft.com/office/drawing/2014/main" id="{0AD3A8CC-4A16-A8BB-49B2-D2B315A8FF53}"/>
            </a:ext>
          </a:extLst>
        </xdr:cNvPr>
        <xdr:cNvSpPr txBox="1"/>
      </xdr:nvSpPr>
      <xdr:spPr>
        <a:xfrm>
          <a:off x="7543800" y="3187700"/>
          <a:ext cx="49784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fld id="{C7B88405-87D3-437A-8BD5-8A2DB237348D}" type="TxLink">
            <a:rPr lang="en-US" sz="750" b="0" i="0" u="none" strike="noStrike">
              <a:solidFill>
                <a:srgbClr val="6E675C"/>
              </a:solidFill>
              <a:latin typeface="Segoe UI" panose="020B0502040204020203" pitchFamily="34" charset="0"/>
              <a:cs typeface="Segoe UI"/>
            </a:rPr>
            <a:pPr algn="l"/>
            <a:t>Utilidad neta: $450 M en 2026 y $795 M en 2027 (+76,7%). Control: cascada - suma directa = $0</a:t>
          </a:fld>
          <a:endParaRPr lang="es-CO" sz="750" b="0">
            <a:solidFill>
              <a:srgbClr val="6E675C"/>
            </a:solidFill>
            <a:latin typeface="Segoe UI" panose="020B0502040204020203" pitchFamily="34" charset="0"/>
          </a:endParaRPr>
        </a:p>
      </xdr:txBody>
    </xdr:sp>
    <xdr:clientData/>
  </xdr:twoCellAnchor>
  <xdr:twoCellAnchor editAs="absolute">
    <xdr:from>
      <xdr:col>8</xdr:col>
      <xdr:colOff>50800</xdr:colOff>
      <xdr:row>19</xdr:row>
      <xdr:rowOff>88900</xdr:rowOff>
    </xdr:from>
    <xdr:to>
      <xdr:col>25</xdr:col>
      <xdr:colOff>82550</xdr:colOff>
      <xdr:row>20</xdr:row>
      <xdr:rowOff>50800</xdr:rowOff>
    </xdr:to>
    <xdr:sp macro="" textlink="">
      <xdr:nvSpPr>
        <xdr:cNvPr id="35" name="facts_tit">
          <a:extLst>
            <a:ext uri="{FF2B5EF4-FFF2-40B4-BE49-F238E27FC236}">
              <a16:creationId xmlns:a16="http://schemas.microsoft.com/office/drawing/2014/main" id="{45876436-1C45-534C-54AD-8CF1CB2DC03F}"/>
            </a:ext>
          </a:extLst>
        </xdr:cNvPr>
        <xdr:cNvSpPr txBox="1"/>
      </xdr:nvSpPr>
      <xdr:spPr>
        <a:xfrm>
          <a:off x="1828800" y="3708400"/>
          <a:ext cx="3810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800" b="1">
              <a:solidFill>
                <a:srgbClr val="6E675C"/>
              </a:solidFill>
              <a:latin typeface="Segoe UI" panose="020B0502040204020203" pitchFamily="34" charset="0"/>
            </a:rPr>
            <a:t>EN UNA MIRADA · MÁRGENES 2027</a:t>
          </a:r>
        </a:p>
      </xdr:txBody>
    </xdr:sp>
    <xdr:clientData/>
  </xdr:twoCellAnchor>
  <xdr:twoCellAnchor editAs="absolute">
    <xdr:from>
      <xdr:col>18</xdr:col>
      <xdr:colOff>88900</xdr:colOff>
      <xdr:row>19</xdr:row>
      <xdr:rowOff>88900</xdr:rowOff>
    </xdr:from>
    <xdr:to>
      <xdr:col>19</xdr:col>
      <xdr:colOff>31750</xdr:colOff>
      <xdr:row>20</xdr:row>
      <xdr:rowOff>63500</xdr:rowOff>
    </xdr:to>
    <xdr:sp macro="" textlink="">
      <xdr:nvSpPr>
        <xdr:cNvPr id="36" name="facts_info">
          <a:hlinkClick xmlns:r="http://schemas.openxmlformats.org/officeDocument/2006/relationships" r:id="rId7" tooltip="Como se calcula: margenes del presupuesto 2027 (bruto, EBITDA, neto y gastos operativos sobre ingresos), con el valor 2026 debajo. Metas en la hoja Calculos. Que decision informa: si el presupuesto protege el margen o solo infla las cifras."/>
          <a:extLst>
            <a:ext uri="{FF2B5EF4-FFF2-40B4-BE49-F238E27FC236}">
              <a16:creationId xmlns:a16="http://schemas.microsoft.com/office/drawing/2014/main" id="{D53D6F80-2253-E93C-F5D1-7A3EB12B0D2E}"/>
            </a:ext>
          </a:extLst>
        </xdr:cNvPr>
        <xdr:cNvSpPr/>
      </xdr:nvSpPr>
      <xdr:spPr>
        <a:xfrm>
          <a:off x="4089400" y="3708400"/>
          <a:ext cx="165100" cy="165100"/>
        </a:xfrm>
        <a:prstGeom prst="roundRect">
          <a:avLst>
            <a:gd name="adj" fmla="val 46154"/>
          </a:avLst>
        </a:prstGeom>
        <a:solidFill>
          <a:srgbClr val="FFFDF8"/>
        </a:solidFill>
        <a:ln w="9525">
          <a:solidFill>
            <a:srgbClr val="C6BB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s-CO" sz="800" i="1">
              <a:solidFill>
                <a:srgbClr val="6E675C"/>
              </a:solidFill>
              <a:latin typeface="Georgia" panose="02040502050405020303" pitchFamily="18" charset="0"/>
            </a:rPr>
            <a:t>i</a:t>
          </a:r>
        </a:p>
      </xdr:txBody>
    </xdr:sp>
    <xdr:clientData/>
  </xdr:twoCellAnchor>
  <xdr:twoCellAnchor editAs="absolute">
    <xdr:from>
      <xdr:col>8</xdr:col>
      <xdr:colOff>50800</xdr:colOff>
      <xdr:row>25</xdr:row>
      <xdr:rowOff>139700</xdr:rowOff>
    </xdr:from>
    <xdr:to>
      <xdr:col>32</xdr:col>
      <xdr:colOff>50800</xdr:colOff>
      <xdr:row>40</xdr:row>
      <xdr:rowOff>12700</xdr:rowOff>
    </xdr:to>
    <xdr:sp macro="" textlink="">
      <xdr:nvSpPr>
        <xdr:cNvPr id="37" name="k_mensual">
          <a:extLst>
            <a:ext uri="{FF2B5EF4-FFF2-40B4-BE49-F238E27FC236}">
              <a16:creationId xmlns:a16="http://schemas.microsoft.com/office/drawing/2014/main" id="{CD1CD801-BC68-E130-602E-B34AD844077F}"/>
            </a:ext>
          </a:extLst>
        </xdr:cNvPr>
        <xdr:cNvSpPr/>
      </xdr:nvSpPr>
      <xdr:spPr>
        <a:xfrm>
          <a:off x="1828800" y="4902200"/>
          <a:ext cx="5334000" cy="2730500"/>
        </a:xfrm>
        <a:prstGeom prst="roundRect">
          <a:avLst>
            <a:gd name="adj" fmla="val 6512"/>
          </a:avLst>
        </a:prstGeom>
        <a:solidFill>
          <a:srgbClr val="FFFDF8"/>
        </a:solidFill>
        <a:ln w="9525">
          <a:solidFill>
            <a:srgbClr val="C6BB98"/>
          </a:solidFill>
        </a:ln>
        <a:effectLst>
          <a:outerShdw blurRad="177800" dist="63500" dir="5400000" rotWithShape="0">
            <a:srgbClr val="14110C">
              <a:alpha val="1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absolute">
    <xdr:from>
      <xdr:col>9</xdr:col>
      <xdr:colOff>6350</xdr:colOff>
      <xdr:row>26</xdr:row>
      <xdr:rowOff>76200</xdr:rowOff>
    </xdr:from>
    <xdr:to>
      <xdr:col>29</xdr:col>
      <xdr:colOff>133350</xdr:colOff>
      <xdr:row>27</xdr:row>
      <xdr:rowOff>63500</xdr:rowOff>
    </xdr:to>
    <xdr:sp macro="" textlink="">
      <xdr:nvSpPr>
        <xdr:cNvPr id="38" name="k_mensual_tit">
          <a:extLst>
            <a:ext uri="{FF2B5EF4-FFF2-40B4-BE49-F238E27FC236}">
              <a16:creationId xmlns:a16="http://schemas.microsoft.com/office/drawing/2014/main" id="{FC839C7E-1896-F24A-49CF-83A5C84CD562}"/>
            </a:ext>
          </a:extLst>
        </xdr:cNvPr>
        <xdr:cNvSpPr txBox="1"/>
      </xdr:nvSpPr>
      <xdr:spPr>
        <a:xfrm>
          <a:off x="2006600" y="5029200"/>
          <a:ext cx="4572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1000" b="1">
              <a:solidFill>
                <a:srgbClr val="14110C"/>
              </a:solidFill>
              <a:latin typeface="Segoe UI" panose="020B0502040204020203" pitchFamily="34" charset="0"/>
            </a:rPr>
            <a:t>¿Cómo se reparte el año?</a:t>
          </a:r>
        </a:p>
      </xdr:txBody>
    </xdr:sp>
    <xdr:clientData/>
  </xdr:twoCellAnchor>
  <xdr:twoCellAnchor editAs="absolute">
    <xdr:from>
      <xdr:col>30</xdr:col>
      <xdr:colOff>190500</xdr:colOff>
      <xdr:row>26</xdr:row>
      <xdr:rowOff>76200</xdr:rowOff>
    </xdr:from>
    <xdr:to>
      <xdr:col>31</xdr:col>
      <xdr:colOff>133350</xdr:colOff>
      <xdr:row>27</xdr:row>
      <xdr:rowOff>50800</xdr:rowOff>
    </xdr:to>
    <xdr:sp macro="" textlink="">
      <xdr:nvSpPr>
        <xdr:cNvPr id="39" name="km_info">
          <a:hlinkClick xmlns:r="http://schemas.openxmlformats.org/officeDocument/2006/relationships" r:id="rId7" tooltip="Como se calcula: la linea elegida en las pestanas, mes a mes, presupuesto 2027 contra real 2026, en millones. El presupuesto conserva la estacionalidad del 2026. Que decision informa: en que meses se concentra el reto y como planear la caja."/>
          <a:extLst>
            <a:ext uri="{FF2B5EF4-FFF2-40B4-BE49-F238E27FC236}">
              <a16:creationId xmlns:a16="http://schemas.microsoft.com/office/drawing/2014/main" id="{BA94C84B-D860-1F4B-A2D5-1C7185F96A63}"/>
            </a:ext>
          </a:extLst>
        </xdr:cNvPr>
        <xdr:cNvSpPr/>
      </xdr:nvSpPr>
      <xdr:spPr>
        <a:xfrm>
          <a:off x="6858000" y="5029200"/>
          <a:ext cx="165100" cy="165100"/>
        </a:xfrm>
        <a:prstGeom prst="roundRect">
          <a:avLst>
            <a:gd name="adj" fmla="val 46154"/>
          </a:avLst>
        </a:prstGeom>
        <a:solidFill>
          <a:srgbClr val="FFFDF8"/>
        </a:solidFill>
        <a:ln w="9525">
          <a:solidFill>
            <a:srgbClr val="C6BB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s-CO" sz="800" i="1">
              <a:solidFill>
                <a:srgbClr val="6E675C"/>
              </a:solidFill>
              <a:latin typeface="Georgia" panose="02040502050405020303" pitchFamily="18" charset="0"/>
            </a:rPr>
            <a:t>i</a:t>
          </a:r>
        </a:p>
      </xdr:txBody>
    </xdr:sp>
    <xdr:clientData/>
  </xdr:twoCellAnchor>
  <xdr:twoCellAnchor editAs="absolute">
    <xdr:from>
      <xdr:col>9</xdr:col>
      <xdr:colOff>6350</xdr:colOff>
      <xdr:row>27</xdr:row>
      <xdr:rowOff>101600</xdr:rowOff>
    </xdr:from>
    <xdr:to>
      <xdr:col>29</xdr:col>
      <xdr:colOff>133350</xdr:colOff>
      <xdr:row>28</xdr:row>
      <xdr:rowOff>63500</xdr:rowOff>
    </xdr:to>
    <xdr:sp macro="" textlink="Calculos!$BY$63">
      <xdr:nvSpPr>
        <xdr:cNvPr id="40" name="km_cap">
          <a:extLst>
            <a:ext uri="{FF2B5EF4-FFF2-40B4-BE49-F238E27FC236}">
              <a16:creationId xmlns:a16="http://schemas.microsoft.com/office/drawing/2014/main" id="{960D9394-0B54-2146-55D0-B83E02E2C852}"/>
            </a:ext>
          </a:extLst>
        </xdr:cNvPr>
        <xdr:cNvSpPr txBox="1"/>
      </xdr:nvSpPr>
      <xdr:spPr>
        <a:xfrm>
          <a:off x="2006600" y="5245100"/>
          <a:ext cx="4572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fld id="{1FC16492-06D3-413B-9043-23DF8D3283B6}" type="TxLink">
            <a:rPr lang="en-US" sz="700" b="0" i="0" u="none" strike="noStrike">
              <a:solidFill>
                <a:srgbClr val="6E675C"/>
              </a:solidFill>
              <a:latin typeface="Segoe UI" panose="020B0502040204020203" pitchFamily="34" charset="0"/>
              <a:cs typeface="Segoe UI"/>
            </a:rPr>
            <a:pPr algn="l"/>
            <a:t>Ingresos · millones de pesos · mes pico 2027: Dic</a:t>
          </a:fld>
          <a:endParaRPr lang="es-CO" sz="700" b="0">
            <a:solidFill>
              <a:srgbClr val="6E675C"/>
            </a:solidFill>
            <a:latin typeface="Segoe UI" panose="020B0502040204020203" pitchFamily="34" charset="0"/>
          </a:endParaRPr>
        </a:p>
      </xdr:txBody>
    </xdr:sp>
    <xdr:clientData/>
  </xdr:twoCellAnchor>
  <xdr:twoCellAnchor editAs="absolute">
    <xdr:from>
      <xdr:col>8</xdr:col>
      <xdr:colOff>152400</xdr:colOff>
      <xdr:row>28</xdr:row>
      <xdr:rowOff>101600</xdr:rowOff>
    </xdr:from>
    <xdr:to>
      <xdr:col>31</xdr:col>
      <xdr:colOff>171450</xdr:colOff>
      <xdr:row>39</xdr:row>
      <xdr:rowOff>101600</xdr:rowOff>
    </xdr:to>
    <xdr:graphicFrame macro="">
      <xdr:nvGraphicFramePr>
        <xdr:cNvPr id="41" name="ch_mensual">
          <a:extLst>
            <a:ext uri="{FF2B5EF4-FFF2-40B4-BE49-F238E27FC236}">
              <a16:creationId xmlns:a16="http://schemas.microsoft.com/office/drawing/2014/main" id="{E117E133-2508-146A-7E71-5008FB144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33</xdr:col>
      <xdr:colOff>31750</xdr:colOff>
      <xdr:row>25</xdr:row>
      <xdr:rowOff>139700</xdr:rowOff>
    </xdr:from>
    <xdr:to>
      <xdr:col>57</xdr:col>
      <xdr:colOff>31750</xdr:colOff>
      <xdr:row>40</xdr:row>
      <xdr:rowOff>12700</xdr:rowOff>
    </xdr:to>
    <xdr:sp macro="" textlink="">
      <xdr:nvSpPr>
        <xdr:cNvPr id="42" name="k_cc">
          <a:extLst>
            <a:ext uri="{FF2B5EF4-FFF2-40B4-BE49-F238E27FC236}">
              <a16:creationId xmlns:a16="http://schemas.microsoft.com/office/drawing/2014/main" id="{D1F9D029-BF29-5FF5-0865-7F3A42A2FD0F}"/>
            </a:ext>
          </a:extLst>
        </xdr:cNvPr>
        <xdr:cNvSpPr/>
      </xdr:nvSpPr>
      <xdr:spPr>
        <a:xfrm>
          <a:off x="7366000" y="4902200"/>
          <a:ext cx="5334000" cy="2730500"/>
        </a:xfrm>
        <a:prstGeom prst="roundRect">
          <a:avLst>
            <a:gd name="adj" fmla="val 6512"/>
          </a:avLst>
        </a:prstGeom>
        <a:solidFill>
          <a:srgbClr val="FFFDF8"/>
        </a:solidFill>
        <a:ln w="9525">
          <a:solidFill>
            <a:srgbClr val="C6BB98"/>
          </a:solidFill>
        </a:ln>
        <a:effectLst>
          <a:outerShdw blurRad="177800" dist="63500" dir="5400000" rotWithShape="0">
            <a:srgbClr val="14110C">
              <a:alpha val="1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absolute">
    <xdr:from>
      <xdr:col>33</xdr:col>
      <xdr:colOff>209550</xdr:colOff>
      <xdr:row>26</xdr:row>
      <xdr:rowOff>76200</xdr:rowOff>
    </xdr:from>
    <xdr:to>
      <xdr:col>54</xdr:col>
      <xdr:colOff>114300</xdr:colOff>
      <xdr:row>27</xdr:row>
      <xdr:rowOff>63500</xdr:rowOff>
    </xdr:to>
    <xdr:sp macro="" textlink="">
      <xdr:nvSpPr>
        <xdr:cNvPr id="43" name="k_cc_tit">
          <a:extLst>
            <a:ext uri="{FF2B5EF4-FFF2-40B4-BE49-F238E27FC236}">
              <a16:creationId xmlns:a16="http://schemas.microsoft.com/office/drawing/2014/main" id="{EFB12440-7222-BCB3-8EFB-A3E3CDC2A08A}"/>
            </a:ext>
          </a:extLst>
        </xdr:cNvPr>
        <xdr:cNvSpPr txBox="1"/>
      </xdr:nvSpPr>
      <xdr:spPr>
        <a:xfrm>
          <a:off x="7543800" y="5029200"/>
          <a:ext cx="4572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1000" b="1">
              <a:solidFill>
                <a:srgbClr val="14110C"/>
              </a:solidFill>
              <a:latin typeface="Segoe UI" panose="020B0502040204020203" pitchFamily="34" charset="0"/>
            </a:rPr>
            <a:t>¿Qué centro de costo pide más gasto?</a:t>
          </a:r>
        </a:p>
      </xdr:txBody>
    </xdr:sp>
    <xdr:clientData/>
  </xdr:twoCellAnchor>
  <xdr:twoCellAnchor editAs="absolute">
    <xdr:from>
      <xdr:col>55</xdr:col>
      <xdr:colOff>171450</xdr:colOff>
      <xdr:row>26</xdr:row>
      <xdr:rowOff>76200</xdr:rowOff>
    </xdr:from>
    <xdr:to>
      <xdr:col>56</xdr:col>
      <xdr:colOff>114300</xdr:colOff>
      <xdr:row>27</xdr:row>
      <xdr:rowOff>50800</xdr:rowOff>
    </xdr:to>
    <xdr:sp macro="" textlink="">
      <xdr:nvSpPr>
        <xdr:cNvPr id="44" name="kcc_info">
          <a:hlinkClick xmlns:r="http://schemas.openxmlformats.org/officeDocument/2006/relationships" r:id="rId7" tooltip="Como se calcula: gastos (sin costo de ventas) de cada centro de costo, presupuesto 2027 contra real 2026, en millones (tabla dinamica: se actualiza al abrir o con Actualizar todo). Que decision informa: a que responsable pedirle que sustente su aumento."/>
          <a:extLst>
            <a:ext uri="{FF2B5EF4-FFF2-40B4-BE49-F238E27FC236}">
              <a16:creationId xmlns:a16="http://schemas.microsoft.com/office/drawing/2014/main" id="{BA398641-225D-9D9A-C8EA-833E7FEC6153}"/>
            </a:ext>
          </a:extLst>
        </xdr:cNvPr>
        <xdr:cNvSpPr/>
      </xdr:nvSpPr>
      <xdr:spPr>
        <a:xfrm>
          <a:off x="12395200" y="5029200"/>
          <a:ext cx="165100" cy="165100"/>
        </a:xfrm>
        <a:prstGeom prst="roundRect">
          <a:avLst>
            <a:gd name="adj" fmla="val 46154"/>
          </a:avLst>
        </a:prstGeom>
        <a:solidFill>
          <a:srgbClr val="FFFDF8"/>
        </a:solidFill>
        <a:ln w="9525">
          <a:solidFill>
            <a:srgbClr val="C6BB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s-CO" sz="800" i="1">
              <a:solidFill>
                <a:srgbClr val="6E675C"/>
              </a:solidFill>
              <a:latin typeface="Georgia" panose="02040502050405020303" pitchFamily="18" charset="0"/>
            </a:rPr>
            <a:t>i</a:t>
          </a:r>
        </a:p>
      </xdr:txBody>
    </xdr:sp>
    <xdr:clientData/>
  </xdr:twoCellAnchor>
  <xdr:twoCellAnchor editAs="absolute">
    <xdr:from>
      <xdr:col>33</xdr:col>
      <xdr:colOff>209550</xdr:colOff>
      <xdr:row>27</xdr:row>
      <xdr:rowOff>101600</xdr:rowOff>
    </xdr:from>
    <xdr:to>
      <xdr:col>54</xdr:col>
      <xdr:colOff>114300</xdr:colOff>
      <xdr:row>28</xdr:row>
      <xdr:rowOff>63500</xdr:rowOff>
    </xdr:to>
    <xdr:sp macro="" textlink="Calculos!$BY$62">
      <xdr:nvSpPr>
        <xdr:cNvPr id="45" name="kcc_cap">
          <a:extLst>
            <a:ext uri="{FF2B5EF4-FFF2-40B4-BE49-F238E27FC236}">
              <a16:creationId xmlns:a16="http://schemas.microsoft.com/office/drawing/2014/main" id="{66A9D730-29A1-C9CD-E350-20896C88E7B3}"/>
            </a:ext>
          </a:extLst>
        </xdr:cNvPr>
        <xdr:cNvSpPr txBox="1"/>
      </xdr:nvSpPr>
      <xdr:spPr>
        <a:xfrm>
          <a:off x="7543800" y="5245100"/>
          <a:ext cx="4572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fld id="{A3C622BC-0601-4EC0-B61E-51FF8F8788CA}" type="TxLink">
            <a:rPr lang="en-US" sz="700" b="0" i="0" u="none" strike="noStrike">
              <a:solidFill>
                <a:srgbClr val="6E675C"/>
              </a:solidFill>
              <a:latin typeface="Segoe UI" panose="020B0502040204020203" pitchFamily="34" charset="0"/>
              <a:cs typeface="Segoe UI"/>
            </a:rPr>
            <a:pPr algn="l"/>
            <a:t>Mayor aumento de gasto: Comercial (+14,5%) · millones de pesos</a:t>
          </a:fld>
          <a:endParaRPr lang="es-CO" sz="700" b="0">
            <a:solidFill>
              <a:srgbClr val="6E675C"/>
            </a:solidFill>
            <a:latin typeface="Segoe UI" panose="020B0502040204020203" pitchFamily="34" charset="0"/>
          </a:endParaRPr>
        </a:p>
      </xdr:txBody>
    </xdr:sp>
    <xdr:clientData/>
  </xdr:twoCellAnchor>
  <xdr:twoCellAnchor editAs="absolute">
    <xdr:from>
      <xdr:col>33</xdr:col>
      <xdr:colOff>133350</xdr:colOff>
      <xdr:row>28</xdr:row>
      <xdr:rowOff>101600</xdr:rowOff>
    </xdr:from>
    <xdr:to>
      <xdr:col>56</xdr:col>
      <xdr:colOff>152400</xdr:colOff>
      <xdr:row>39</xdr:row>
      <xdr:rowOff>101600</xdr:rowOff>
    </xdr:to>
    <xdr:graphicFrame macro="">
      <xdr:nvGraphicFramePr>
        <xdr:cNvPr id="46" name="ch_cc">
          <a:extLst>
            <a:ext uri="{FF2B5EF4-FFF2-40B4-BE49-F238E27FC236}">
              <a16:creationId xmlns:a16="http://schemas.microsoft.com/office/drawing/2014/main" id="{3E1C152E-8417-FEFC-DD83-3818D1247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8</xdr:col>
      <xdr:colOff>50800</xdr:colOff>
      <xdr:row>40</xdr:row>
      <xdr:rowOff>165100</xdr:rowOff>
    </xdr:from>
    <xdr:to>
      <xdr:col>57</xdr:col>
      <xdr:colOff>31750</xdr:colOff>
      <xdr:row>59</xdr:row>
      <xdr:rowOff>101600</xdr:rowOff>
    </xdr:to>
    <xdr:sp macro="" textlink="">
      <xdr:nvSpPr>
        <xdr:cNvPr id="47" name="k_rubros">
          <a:extLst>
            <a:ext uri="{FF2B5EF4-FFF2-40B4-BE49-F238E27FC236}">
              <a16:creationId xmlns:a16="http://schemas.microsoft.com/office/drawing/2014/main" id="{3019B3E7-06A9-A764-15C7-2F5655FB3090}"/>
            </a:ext>
          </a:extLst>
        </xdr:cNvPr>
        <xdr:cNvSpPr/>
      </xdr:nvSpPr>
      <xdr:spPr>
        <a:xfrm>
          <a:off x="1828800" y="7785100"/>
          <a:ext cx="10871200" cy="3556000"/>
        </a:xfrm>
        <a:prstGeom prst="roundRect">
          <a:avLst>
            <a:gd name="adj" fmla="val 5000"/>
          </a:avLst>
        </a:prstGeom>
        <a:solidFill>
          <a:srgbClr val="FFFDF8"/>
        </a:solidFill>
        <a:ln w="9525">
          <a:solidFill>
            <a:srgbClr val="C6BB98"/>
          </a:solidFill>
        </a:ln>
        <a:effectLst>
          <a:outerShdw blurRad="177800" dist="63500" dir="5400000" rotWithShape="0">
            <a:srgbClr val="14110C">
              <a:alpha val="1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absolute">
    <xdr:from>
      <xdr:col>9</xdr:col>
      <xdr:colOff>6350</xdr:colOff>
      <xdr:row>41</xdr:row>
      <xdr:rowOff>101600</xdr:rowOff>
    </xdr:from>
    <xdr:to>
      <xdr:col>54</xdr:col>
      <xdr:colOff>114300</xdr:colOff>
      <xdr:row>42</xdr:row>
      <xdr:rowOff>88900</xdr:rowOff>
    </xdr:to>
    <xdr:sp macro="" textlink="">
      <xdr:nvSpPr>
        <xdr:cNvPr id="48" name="k_rubros_tit">
          <a:extLst>
            <a:ext uri="{FF2B5EF4-FFF2-40B4-BE49-F238E27FC236}">
              <a16:creationId xmlns:a16="http://schemas.microsoft.com/office/drawing/2014/main" id="{7EDE15B5-D292-C6B5-319B-3DE8A2C9DD37}"/>
            </a:ext>
          </a:extLst>
        </xdr:cNvPr>
        <xdr:cNvSpPr txBox="1"/>
      </xdr:nvSpPr>
      <xdr:spPr>
        <a:xfrm>
          <a:off x="2006600" y="7912100"/>
          <a:ext cx="101092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1000" b="1">
              <a:solidFill>
                <a:srgbClr val="14110C"/>
              </a:solidFill>
              <a:latin typeface="Segoe UI" panose="020B0502040204020203" pitchFamily="34" charset="0"/>
            </a:rPr>
            <a:t>¿Qué cuentas mueven el presupuesto?</a:t>
          </a:r>
        </a:p>
      </xdr:txBody>
    </xdr:sp>
    <xdr:clientData/>
  </xdr:twoCellAnchor>
  <xdr:twoCellAnchor editAs="absolute">
    <xdr:from>
      <xdr:col>55</xdr:col>
      <xdr:colOff>171450</xdr:colOff>
      <xdr:row>41</xdr:row>
      <xdr:rowOff>101600</xdr:rowOff>
    </xdr:from>
    <xdr:to>
      <xdr:col>56</xdr:col>
      <xdr:colOff>114300</xdr:colOff>
      <xdr:row>42</xdr:row>
      <xdr:rowOff>76200</xdr:rowOff>
    </xdr:to>
    <xdr:sp macro="" textlink="">
      <xdr:nvSpPr>
        <xdr:cNvPr id="49" name="kr_info">
          <a:hlinkClick xmlns:r="http://schemas.openxmlformats.org/officeDocument/2006/relationships" r:id="rId7" tooltip="Como se calcula: cada cuenta con su real 2026, presupuesto 2027, Var $ y Var %, ordenadas por variacion absoluta (tabla dinamica: se actualiza al abrir o con Actualizar todo). Rojo: un ingreso que baja, o un costo/gasto que crece mas rapido que los ingresos. Que decision informa: que cuentas hay que sustentar en la reunion de presupuesto."/>
          <a:extLst>
            <a:ext uri="{FF2B5EF4-FFF2-40B4-BE49-F238E27FC236}">
              <a16:creationId xmlns:a16="http://schemas.microsoft.com/office/drawing/2014/main" id="{4440023E-418F-AF0B-A849-CF5C92913D72}"/>
            </a:ext>
          </a:extLst>
        </xdr:cNvPr>
        <xdr:cNvSpPr/>
      </xdr:nvSpPr>
      <xdr:spPr>
        <a:xfrm>
          <a:off x="12395200" y="7912100"/>
          <a:ext cx="165100" cy="165100"/>
        </a:xfrm>
        <a:prstGeom prst="roundRect">
          <a:avLst>
            <a:gd name="adj" fmla="val 46154"/>
          </a:avLst>
        </a:prstGeom>
        <a:solidFill>
          <a:srgbClr val="FFFDF8"/>
        </a:solidFill>
        <a:ln w="9525">
          <a:solidFill>
            <a:srgbClr val="C6BB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s-CO" sz="800" i="1">
              <a:solidFill>
                <a:srgbClr val="6E675C"/>
              </a:solidFill>
              <a:latin typeface="Georgia" panose="02040502050405020303" pitchFamily="18" charset="0"/>
            </a:rPr>
            <a:t>i</a:t>
          </a:r>
        </a:p>
      </xdr:txBody>
    </xdr:sp>
    <xdr:clientData/>
  </xdr:twoCellAnchor>
  <xdr:twoCellAnchor editAs="absolute">
    <xdr:from>
      <xdr:col>9</xdr:col>
      <xdr:colOff>6350</xdr:colOff>
      <xdr:row>42</xdr:row>
      <xdr:rowOff>127000</xdr:rowOff>
    </xdr:from>
    <xdr:to>
      <xdr:col>54</xdr:col>
      <xdr:colOff>114300</xdr:colOff>
      <xdr:row>43</xdr:row>
      <xdr:rowOff>88900</xdr:rowOff>
    </xdr:to>
    <xdr:sp macro="" textlink="">
      <xdr:nvSpPr>
        <xdr:cNvPr id="50" name="kr_cap">
          <a:extLst>
            <a:ext uri="{FF2B5EF4-FFF2-40B4-BE49-F238E27FC236}">
              <a16:creationId xmlns:a16="http://schemas.microsoft.com/office/drawing/2014/main" id="{D94F8FA0-7BE6-126F-AC78-15E83BBF0B6A}"/>
            </a:ext>
          </a:extLst>
        </xdr:cNvPr>
        <xdr:cNvSpPr txBox="1"/>
      </xdr:nvSpPr>
      <xdr:spPr>
        <a:xfrm>
          <a:off x="2006600" y="8128000"/>
          <a:ext cx="101092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700" b="0">
              <a:solidFill>
                <a:srgbClr val="6E675C"/>
              </a:solidFill>
              <a:latin typeface="Segoe UI" panose="020B0502040204020203" pitchFamily="34" charset="0"/>
            </a:rPr>
            <a:t>Ordenado por mayor variación absoluta · barra = magnitud del cambio</a:t>
          </a:r>
        </a:p>
      </xdr:txBody>
    </xdr:sp>
    <xdr:clientData/>
  </xdr:twoCellAnchor>
  <xdr:twoCellAnchor editAs="absolute">
    <xdr:from>
      <xdr:col>9</xdr:col>
      <xdr:colOff>6350</xdr:colOff>
      <xdr:row>58</xdr:row>
      <xdr:rowOff>88900</xdr:rowOff>
    </xdr:from>
    <xdr:to>
      <xdr:col>56</xdr:col>
      <xdr:colOff>76200</xdr:colOff>
      <xdr:row>59</xdr:row>
      <xdr:rowOff>50800</xdr:rowOff>
    </xdr:to>
    <xdr:sp macro="" textlink="Calculos!$BY$59">
      <xdr:nvSpPr>
        <xdr:cNvPr id="51" name="kr_pie">
          <a:extLst>
            <a:ext uri="{FF2B5EF4-FFF2-40B4-BE49-F238E27FC236}">
              <a16:creationId xmlns:a16="http://schemas.microsoft.com/office/drawing/2014/main" id="{5B1ECF50-064B-B284-D67B-36245A6A82CE}"/>
            </a:ext>
          </a:extLst>
        </xdr:cNvPr>
        <xdr:cNvSpPr txBox="1"/>
      </xdr:nvSpPr>
      <xdr:spPr>
        <a:xfrm>
          <a:off x="2006600" y="11137900"/>
          <a:ext cx="105156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fld id="{3CE53396-4C41-4AF6-950D-A827A18408C6}" type="TxLink">
            <a:rPr lang="en-US" sz="700" b="0" i="0" u="none" strike="noStrike">
              <a:solidFill>
                <a:srgbClr val="6E675C"/>
              </a:solidFill>
              <a:latin typeface="Segoe UI" panose="020B0502040204020203" pitchFamily="34" charset="0"/>
              <a:cs typeface="Segoe UI"/>
            </a:rPr>
            <a:pPr algn="l"/>
            <a:t>Mostrando 15 de 23 cuentas, ordenadas por mayor variación absoluta entre 2026 y 2027</a:t>
          </a:fld>
          <a:endParaRPr lang="es-CO" sz="700" b="0">
            <a:solidFill>
              <a:srgbClr val="6E675C"/>
            </a:solidFill>
            <a:latin typeface="Segoe UI" panose="020B0502040204020203" pitchFamily="34" charset="0"/>
          </a:endParaRPr>
        </a:p>
      </xdr:txBody>
    </xdr:sp>
    <xdr:clientData/>
  </xdr:twoCellAnchor>
  <xdr:twoCellAnchor editAs="absolute">
    <xdr:from>
      <xdr:col>8</xdr:col>
      <xdr:colOff>50800</xdr:colOff>
      <xdr:row>60</xdr:row>
      <xdr:rowOff>63500</xdr:rowOff>
    </xdr:from>
    <xdr:to>
      <xdr:col>32</xdr:col>
      <xdr:colOff>50800</xdr:colOff>
      <xdr:row>82</xdr:row>
      <xdr:rowOff>63500</xdr:rowOff>
    </xdr:to>
    <xdr:sp macro="" textlink="">
      <xdr:nvSpPr>
        <xdr:cNvPr id="52" name="k_eerr">
          <a:extLst>
            <a:ext uri="{FF2B5EF4-FFF2-40B4-BE49-F238E27FC236}">
              <a16:creationId xmlns:a16="http://schemas.microsoft.com/office/drawing/2014/main" id="{EFEDE599-C909-A54B-E3CD-0B784EB0475E}"/>
            </a:ext>
          </a:extLst>
        </xdr:cNvPr>
        <xdr:cNvSpPr/>
      </xdr:nvSpPr>
      <xdr:spPr>
        <a:xfrm>
          <a:off x="1828800" y="11493500"/>
          <a:ext cx="5334000" cy="4191000"/>
        </a:xfrm>
        <a:prstGeom prst="roundRect">
          <a:avLst>
            <a:gd name="adj" fmla="val 4242"/>
          </a:avLst>
        </a:prstGeom>
        <a:solidFill>
          <a:srgbClr val="FFFDF8"/>
        </a:solidFill>
        <a:ln w="9525">
          <a:solidFill>
            <a:srgbClr val="C6BB98"/>
          </a:solidFill>
        </a:ln>
        <a:effectLst>
          <a:outerShdw blurRad="177800" dist="63500" dir="5400000" rotWithShape="0">
            <a:srgbClr val="14110C">
              <a:alpha val="1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absolute">
    <xdr:from>
      <xdr:col>9</xdr:col>
      <xdr:colOff>6350</xdr:colOff>
      <xdr:row>61</xdr:row>
      <xdr:rowOff>0</xdr:rowOff>
    </xdr:from>
    <xdr:to>
      <xdr:col>29</xdr:col>
      <xdr:colOff>133350</xdr:colOff>
      <xdr:row>61</xdr:row>
      <xdr:rowOff>177800</xdr:rowOff>
    </xdr:to>
    <xdr:sp macro="" textlink="">
      <xdr:nvSpPr>
        <xdr:cNvPr id="53" name="k_eerr_tit">
          <a:extLst>
            <a:ext uri="{FF2B5EF4-FFF2-40B4-BE49-F238E27FC236}">
              <a16:creationId xmlns:a16="http://schemas.microsoft.com/office/drawing/2014/main" id="{6B5248D5-B79C-EF02-CE78-5169049FCE7C}"/>
            </a:ext>
          </a:extLst>
        </xdr:cNvPr>
        <xdr:cNvSpPr txBox="1"/>
      </xdr:nvSpPr>
      <xdr:spPr>
        <a:xfrm>
          <a:off x="2006600" y="11620500"/>
          <a:ext cx="4572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1000" b="1">
              <a:solidFill>
                <a:srgbClr val="14110C"/>
              </a:solidFill>
              <a:latin typeface="Segoe UI" panose="020B0502040204020203" pitchFamily="34" charset="0"/>
            </a:rPr>
            <a:t>Estado de resultados 2027 vs. 2026</a:t>
          </a:r>
        </a:p>
      </xdr:txBody>
    </xdr:sp>
    <xdr:clientData/>
  </xdr:twoCellAnchor>
  <xdr:twoCellAnchor editAs="absolute">
    <xdr:from>
      <xdr:col>30</xdr:col>
      <xdr:colOff>190500</xdr:colOff>
      <xdr:row>61</xdr:row>
      <xdr:rowOff>0</xdr:rowOff>
    </xdr:from>
    <xdr:to>
      <xdr:col>31</xdr:col>
      <xdr:colOff>133350</xdr:colOff>
      <xdr:row>61</xdr:row>
      <xdr:rowOff>165100</xdr:rowOff>
    </xdr:to>
    <xdr:sp macro="" textlink="">
      <xdr:nvSpPr>
        <xdr:cNvPr id="54" name="ke_info">
          <a:hlinkClick xmlns:r="http://schemas.openxmlformats.org/officeDocument/2006/relationships" r:id="rId7" tooltip="Como se calcula: imagen vinculada de la hoja Estado de resultados; se actualiza sola al cambiar un supuesto. Millones de pesos. Que decision informa: la cascada completa de ingresos a utilidad neta y los margenes, en una sola vista."/>
          <a:extLst>
            <a:ext uri="{FF2B5EF4-FFF2-40B4-BE49-F238E27FC236}">
              <a16:creationId xmlns:a16="http://schemas.microsoft.com/office/drawing/2014/main" id="{1327B2DE-78A4-3D59-B090-C4BC73E47863}"/>
            </a:ext>
          </a:extLst>
        </xdr:cNvPr>
        <xdr:cNvSpPr/>
      </xdr:nvSpPr>
      <xdr:spPr>
        <a:xfrm>
          <a:off x="6858000" y="11620500"/>
          <a:ext cx="165100" cy="165100"/>
        </a:xfrm>
        <a:prstGeom prst="roundRect">
          <a:avLst>
            <a:gd name="adj" fmla="val 46154"/>
          </a:avLst>
        </a:prstGeom>
        <a:solidFill>
          <a:srgbClr val="FFFDF8"/>
        </a:solidFill>
        <a:ln w="9525">
          <a:solidFill>
            <a:srgbClr val="C6BB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s-CO" sz="800" i="1">
              <a:solidFill>
                <a:srgbClr val="6E675C"/>
              </a:solidFill>
              <a:latin typeface="Georgia" panose="02040502050405020303" pitchFamily="18" charset="0"/>
            </a:rPr>
            <a:t>i</a:t>
          </a:r>
        </a:p>
      </xdr:txBody>
    </xdr:sp>
    <xdr:clientData/>
  </xdr:twoCellAnchor>
  <xdr:twoCellAnchor editAs="absolute">
    <xdr:from>
      <xdr:col>9</xdr:col>
      <xdr:colOff>6350</xdr:colOff>
      <xdr:row>62</xdr:row>
      <xdr:rowOff>25400</xdr:rowOff>
    </xdr:from>
    <xdr:to>
      <xdr:col>29</xdr:col>
      <xdr:colOff>133350</xdr:colOff>
      <xdr:row>62</xdr:row>
      <xdr:rowOff>177800</xdr:rowOff>
    </xdr:to>
    <xdr:sp macro="" textlink="">
      <xdr:nvSpPr>
        <xdr:cNvPr id="55" name="ke_cap">
          <a:extLst>
            <a:ext uri="{FF2B5EF4-FFF2-40B4-BE49-F238E27FC236}">
              <a16:creationId xmlns:a16="http://schemas.microsoft.com/office/drawing/2014/main" id="{9567DC53-40D2-5A34-4BEC-A0613463F030}"/>
            </a:ext>
          </a:extLst>
        </xdr:cNvPr>
        <xdr:cNvSpPr txBox="1"/>
      </xdr:nvSpPr>
      <xdr:spPr>
        <a:xfrm>
          <a:off x="2006600" y="11836400"/>
          <a:ext cx="4572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700" b="0">
              <a:solidFill>
                <a:srgbClr val="6E675C"/>
              </a:solidFill>
              <a:latin typeface="Segoe UI" panose="020B0502040204020203" pitchFamily="34" charset="0"/>
            </a:rPr>
            <a:t>Millones de pesos · se actualiza al cambiar un supuesto</a:t>
          </a:r>
        </a:p>
      </xdr:txBody>
    </xdr:sp>
    <xdr:clientData/>
  </xdr:twoCellAnchor>
  <xdr:twoCellAnchor editAs="absolute">
    <xdr:from>
      <xdr:col>33</xdr:col>
      <xdr:colOff>31750</xdr:colOff>
      <xdr:row>60</xdr:row>
      <xdr:rowOff>63500</xdr:rowOff>
    </xdr:from>
    <xdr:to>
      <xdr:col>57</xdr:col>
      <xdr:colOff>31750</xdr:colOff>
      <xdr:row>82</xdr:row>
      <xdr:rowOff>63500</xdr:rowOff>
    </xdr:to>
    <xdr:sp macro="" textlink="">
      <xdr:nvSpPr>
        <xdr:cNvPr id="56" name="k_seg">
          <a:extLst>
            <a:ext uri="{FF2B5EF4-FFF2-40B4-BE49-F238E27FC236}">
              <a16:creationId xmlns:a16="http://schemas.microsoft.com/office/drawing/2014/main" id="{C593D8F5-F9DE-1C73-38AB-53F3563F7F07}"/>
            </a:ext>
          </a:extLst>
        </xdr:cNvPr>
        <xdr:cNvSpPr/>
      </xdr:nvSpPr>
      <xdr:spPr>
        <a:xfrm>
          <a:off x="7366000" y="11493500"/>
          <a:ext cx="5334000" cy="4191000"/>
        </a:xfrm>
        <a:prstGeom prst="roundRect">
          <a:avLst>
            <a:gd name="adj" fmla="val 4242"/>
          </a:avLst>
        </a:prstGeom>
        <a:solidFill>
          <a:srgbClr val="FFFDF8"/>
        </a:solidFill>
        <a:ln w="9525">
          <a:solidFill>
            <a:srgbClr val="C6BB98"/>
          </a:solidFill>
        </a:ln>
        <a:effectLst>
          <a:outerShdw blurRad="177800" dist="63500" dir="5400000" rotWithShape="0">
            <a:srgbClr val="14110C">
              <a:alpha val="1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absolute">
    <xdr:from>
      <xdr:col>33</xdr:col>
      <xdr:colOff>209550</xdr:colOff>
      <xdr:row>61</xdr:row>
      <xdr:rowOff>0</xdr:rowOff>
    </xdr:from>
    <xdr:to>
      <xdr:col>54</xdr:col>
      <xdr:colOff>114300</xdr:colOff>
      <xdr:row>61</xdr:row>
      <xdr:rowOff>177800</xdr:rowOff>
    </xdr:to>
    <xdr:sp macro="" textlink="">
      <xdr:nvSpPr>
        <xdr:cNvPr id="57" name="k_seg_tit">
          <a:extLst>
            <a:ext uri="{FF2B5EF4-FFF2-40B4-BE49-F238E27FC236}">
              <a16:creationId xmlns:a16="http://schemas.microsoft.com/office/drawing/2014/main" id="{F3139F66-6C43-9E22-B1C2-9097A0D4DF95}"/>
            </a:ext>
          </a:extLst>
        </xdr:cNvPr>
        <xdr:cNvSpPr txBox="1"/>
      </xdr:nvSpPr>
      <xdr:spPr>
        <a:xfrm>
          <a:off x="7543800" y="11620500"/>
          <a:ext cx="4572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1000" b="1">
              <a:solidFill>
                <a:srgbClr val="14110C"/>
              </a:solidFill>
              <a:latin typeface="Segoe UI" panose="020B0502040204020203" pitchFamily="34" charset="0"/>
            </a:rPr>
            <a:t>Seguimiento 2027 al corte</a:t>
          </a:r>
        </a:p>
      </xdr:txBody>
    </xdr:sp>
    <xdr:clientData/>
  </xdr:twoCellAnchor>
  <xdr:twoCellAnchor editAs="absolute">
    <xdr:from>
      <xdr:col>55</xdr:col>
      <xdr:colOff>171450</xdr:colOff>
      <xdr:row>61</xdr:row>
      <xdr:rowOff>0</xdr:rowOff>
    </xdr:from>
    <xdr:to>
      <xdr:col>56</xdr:col>
      <xdr:colOff>114300</xdr:colOff>
      <xdr:row>61</xdr:row>
      <xdr:rowOff>165100</xdr:rowOff>
    </xdr:to>
    <xdr:sp macro="" textlink="">
      <xdr:nvSpPr>
        <xdr:cNvPr id="58" name="ks_info">
          <a:hlinkClick xmlns:r="http://schemas.openxmlformats.org/officeDocument/2006/relationships" r:id="rId7" tooltip="Como se calcula: real 2027 acumulado hasta el mes de corte contra el presupuesto del mismo periodo (hoja Seguimiento). Que decision informa: si el año va en linea con lo aprobado y que bloque se esta desviando."/>
          <a:extLst>
            <a:ext uri="{FF2B5EF4-FFF2-40B4-BE49-F238E27FC236}">
              <a16:creationId xmlns:a16="http://schemas.microsoft.com/office/drawing/2014/main" id="{AFFCC1EB-30A2-7F13-B399-AEE7A94FD13B}"/>
            </a:ext>
          </a:extLst>
        </xdr:cNvPr>
        <xdr:cNvSpPr/>
      </xdr:nvSpPr>
      <xdr:spPr>
        <a:xfrm>
          <a:off x="12395200" y="11620500"/>
          <a:ext cx="165100" cy="165100"/>
        </a:xfrm>
        <a:prstGeom prst="roundRect">
          <a:avLst>
            <a:gd name="adj" fmla="val 46154"/>
          </a:avLst>
        </a:prstGeom>
        <a:solidFill>
          <a:srgbClr val="FFFDF8"/>
        </a:solidFill>
        <a:ln w="9525">
          <a:solidFill>
            <a:srgbClr val="C6BB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s-CO" sz="800" i="1">
              <a:solidFill>
                <a:srgbClr val="6E675C"/>
              </a:solidFill>
              <a:latin typeface="Georgia" panose="02040502050405020303" pitchFamily="18" charset="0"/>
            </a:rPr>
            <a:t>i</a:t>
          </a:r>
        </a:p>
      </xdr:txBody>
    </xdr:sp>
    <xdr:clientData/>
  </xdr:twoCellAnchor>
  <xdr:twoCellAnchor editAs="absolute">
    <xdr:from>
      <xdr:col>33</xdr:col>
      <xdr:colOff>209550</xdr:colOff>
      <xdr:row>62</xdr:row>
      <xdr:rowOff>25400</xdr:rowOff>
    </xdr:from>
    <xdr:to>
      <xdr:col>54</xdr:col>
      <xdr:colOff>114300</xdr:colOff>
      <xdr:row>62</xdr:row>
      <xdr:rowOff>177800</xdr:rowOff>
    </xdr:to>
    <xdr:sp macro="" textlink="">
      <xdr:nvSpPr>
        <xdr:cNvPr id="59" name="ks_cap">
          <a:extLst>
            <a:ext uri="{FF2B5EF4-FFF2-40B4-BE49-F238E27FC236}">
              <a16:creationId xmlns:a16="http://schemas.microsoft.com/office/drawing/2014/main" id="{3C85787C-F1DC-C114-0FE6-61C14DD53556}"/>
            </a:ext>
          </a:extLst>
        </xdr:cNvPr>
        <xdr:cNvSpPr txBox="1"/>
      </xdr:nvSpPr>
      <xdr:spPr>
        <a:xfrm>
          <a:off x="7543800" y="11836400"/>
          <a:ext cx="4572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oAutofit/>
        </a:bodyPr>
        <a:lstStyle/>
        <a:p>
          <a:pPr algn="l"/>
          <a:r>
            <a:rPr lang="es-CO" sz="700" b="0">
              <a:solidFill>
                <a:srgbClr val="6E675C"/>
              </a:solidFill>
              <a:latin typeface="Segoe UI" panose="020B0502040204020203" pitchFamily="34" charset="0"/>
            </a:rPr>
            <a:t>Acumulado al mes de corte · elige el mes en la hoja Seguimiento</a:t>
          </a:r>
        </a:p>
      </xdr:txBody>
    </xdr:sp>
    <xdr:clientData/>
  </xdr:twoCellAnchor>
  <mc:AlternateContent xmlns:mc="http://schemas.openxmlformats.org/markup-compatibility/2006">
    <mc:Choice xmlns:a14="http://schemas.microsoft.com/office/drawing/2010/main" Requires="a14">
      <xdr:twoCellAnchor editAs="absolute">
        <xdr:from>
          <xdr:col>8</xdr:col>
          <xdr:colOff>50800</xdr:colOff>
          <xdr:row>20</xdr:row>
          <xdr:rowOff>76200</xdr:rowOff>
        </xdr:from>
        <xdr:to>
          <xdr:col>52</xdr:col>
          <xdr:colOff>184150</xdr:colOff>
          <xdr:row>24</xdr:row>
          <xdr:rowOff>158750</xdr:rowOff>
        </xdr:to>
        <xdr:pic>
          <xdr:nvPicPr>
            <xdr:cNvPr id="3073" name="f_margenes">
              <a:extLst>
                <a:ext uri="{FF2B5EF4-FFF2-40B4-BE49-F238E27FC236}">
                  <a16:creationId xmlns:a16="http://schemas.microsoft.com/office/drawing/2014/main" id="{E2668B61-73BF-81C7-E659-664B98858E44}"/>
                </a:ext>
              </a:extLst>
            </xdr:cNvPr>
            <xdr:cNvPicPr>
              <a:picLocks noChangeAspect="1" noChangeArrowheads="1"/>
              <a:extLst>
                <a:ext uri="{84589F7E-364E-4C9E-8A38-B11213B215E9}">
                  <a14:cameraTool cellRange="Calculos!$AD$40:$AG$43" spid="_x0000_s3089"/>
                </a:ext>
              </a:extLst>
            </xdr:cNvPicPr>
          </xdr:nvPicPr>
          <xdr:blipFill>
            <a:blip xmlns:r="http://schemas.openxmlformats.org/officeDocument/2006/relationships" r:embed="rId11"/>
            <a:srcRect/>
            <a:stretch>
              <a:fillRect/>
            </a:stretch>
          </xdr:blipFill>
          <xdr:spPr bwMode="auto">
            <a:xfrm>
              <a:off x="1828800" y="3886200"/>
              <a:ext cx="9912350" cy="8445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9</xdr:col>
          <xdr:colOff>6350</xdr:colOff>
          <xdr:row>43</xdr:row>
          <xdr:rowOff>177800</xdr:rowOff>
        </xdr:from>
        <xdr:to>
          <xdr:col>50</xdr:col>
          <xdr:colOff>203200</xdr:colOff>
          <xdr:row>59</xdr:row>
          <xdr:rowOff>76200</xdr:rowOff>
        </xdr:to>
        <xdr:pic>
          <xdr:nvPicPr>
            <xdr:cNvPr id="3074" name="f_rubros">
              <a:extLst>
                <a:ext uri="{FF2B5EF4-FFF2-40B4-BE49-F238E27FC236}">
                  <a16:creationId xmlns:a16="http://schemas.microsoft.com/office/drawing/2014/main" id="{778E5AA3-4C56-C7F7-4B65-77C62AE29A20}"/>
                </a:ext>
              </a:extLst>
            </xdr:cNvPr>
            <xdr:cNvPicPr>
              <a:picLocks noChangeAspect="1" noChangeArrowheads="1"/>
              <a:extLst>
                <a:ext uri="{84589F7E-364E-4C9E-8A38-B11213B215E9}">
                  <a14:cameraTool cellRange="Calculos!$N$60:$T$75" spid="_x0000_s3090"/>
                </a:ext>
              </a:extLst>
            </xdr:cNvPicPr>
          </xdr:nvPicPr>
          <xdr:blipFill>
            <a:blip xmlns:r="http://schemas.openxmlformats.org/officeDocument/2006/relationships" r:embed="rId12"/>
            <a:srcRect/>
            <a:stretch>
              <a:fillRect/>
            </a:stretch>
          </xdr:blipFill>
          <xdr:spPr bwMode="auto">
            <a:xfrm>
              <a:off x="2006600" y="8369300"/>
              <a:ext cx="9309100" cy="29464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9</xdr:col>
          <xdr:colOff>6350</xdr:colOff>
          <xdr:row>63</xdr:row>
          <xdr:rowOff>50800</xdr:rowOff>
        </xdr:from>
        <xdr:to>
          <xdr:col>31</xdr:col>
          <xdr:colOff>95250</xdr:colOff>
          <xdr:row>78</xdr:row>
          <xdr:rowOff>156912</xdr:rowOff>
        </xdr:to>
        <xdr:pic>
          <xdr:nvPicPr>
            <xdr:cNvPr id="3075" name="f_eerr">
              <a:extLst>
                <a:ext uri="{FF2B5EF4-FFF2-40B4-BE49-F238E27FC236}">
                  <a16:creationId xmlns:a16="http://schemas.microsoft.com/office/drawing/2014/main" id="{3FEA6083-1CB7-6F35-2371-CAF9EE63B4ED}"/>
                </a:ext>
              </a:extLst>
            </xdr:cNvPr>
            <xdr:cNvPicPr>
              <a:picLocks noChangeAspect="1" noChangeArrowheads="1"/>
              <a:extLst>
                <a:ext uri="{84589F7E-364E-4C9E-8A38-B11213B215E9}">
                  <a14:cameraTool cellRange="'Estado de resultados'!$B$6:$F$23" spid="_x0000_s3091"/>
                </a:ext>
              </a:extLst>
            </xdr:cNvPicPr>
          </xdr:nvPicPr>
          <xdr:blipFill>
            <a:blip xmlns:r="http://schemas.openxmlformats.org/officeDocument/2006/relationships" r:embed="rId13"/>
            <a:srcRect/>
            <a:stretch>
              <a:fillRect/>
            </a:stretch>
          </xdr:blipFill>
          <xdr:spPr bwMode="auto">
            <a:xfrm>
              <a:off x="2006600" y="12052300"/>
              <a:ext cx="4978400" cy="296361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33</xdr:col>
          <xdr:colOff>209550</xdr:colOff>
          <xdr:row>63</xdr:row>
          <xdr:rowOff>50801</xdr:rowOff>
        </xdr:from>
        <xdr:to>
          <xdr:col>56</xdr:col>
          <xdr:colOff>76200</xdr:colOff>
          <xdr:row>74</xdr:row>
          <xdr:rowOff>117192</xdr:rowOff>
        </xdr:to>
        <xdr:pic>
          <xdr:nvPicPr>
            <xdr:cNvPr id="3076" name="f_seg">
              <a:extLst>
                <a:ext uri="{FF2B5EF4-FFF2-40B4-BE49-F238E27FC236}">
                  <a16:creationId xmlns:a16="http://schemas.microsoft.com/office/drawing/2014/main" id="{EF9544A5-2C47-E496-74C4-BA442A1F4012}"/>
                </a:ext>
              </a:extLst>
            </xdr:cNvPr>
            <xdr:cNvPicPr>
              <a:picLocks noChangeAspect="1" noChangeArrowheads="1"/>
              <a:extLst>
                <a:ext uri="{84589F7E-364E-4C9E-8A38-B11213B215E9}">
                  <a14:cameraTool cellRange="Seguimiento!$B$8:$F$21" spid="_x0000_s3092"/>
                </a:ext>
              </a:extLst>
            </xdr:cNvPicPr>
          </xdr:nvPicPr>
          <xdr:blipFill>
            <a:blip xmlns:r="http://schemas.openxmlformats.org/officeDocument/2006/relationships" r:embed="rId14"/>
            <a:srcRect/>
            <a:stretch>
              <a:fillRect/>
            </a:stretch>
          </xdr:blipFill>
          <xdr:spPr bwMode="auto">
            <a:xfrm>
              <a:off x="7543800" y="12052301"/>
              <a:ext cx="4978400" cy="216189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8</xdr:col>
      <xdr:colOff>177800</xdr:colOff>
      <xdr:row>5</xdr:row>
      <xdr:rowOff>114300</xdr:rowOff>
    </xdr:from>
    <xdr:to>
      <xdr:col>31</xdr:col>
      <xdr:colOff>98426</xdr:colOff>
      <xdr:row>7</xdr:row>
      <xdr:rowOff>139700</xdr:rowOff>
    </xdr:to>
    <mc:AlternateContent xmlns:mc="http://schemas.openxmlformats.org/markup-compatibility/2006" xmlns:a14="http://schemas.microsoft.com/office/drawing/2010/main">
      <mc:Choice Requires="a14">
        <xdr:graphicFrame macro="">
          <xdr:nvGraphicFramePr>
            <xdr:cNvPr id="2" name="segLinea">
              <a:extLst>
                <a:ext uri="{FF2B5EF4-FFF2-40B4-BE49-F238E27FC236}">
                  <a16:creationId xmlns:a16="http://schemas.microsoft.com/office/drawing/2014/main" id="{99366661-0629-4C83-F9F1-3DAE5843E31E}"/>
                </a:ext>
              </a:extLst>
            </xdr:cNvPr>
            <xdr:cNvGraphicFramePr/>
          </xdr:nvGraphicFramePr>
          <xdr:xfrm>
            <a:off x="0" y="0"/>
            <a:ext cx="0" cy="0"/>
          </xdr:xfrm>
          <a:graphic>
            <a:graphicData uri="http://schemas.microsoft.com/office/drawing/2010/slicer">
              <sle:slicer xmlns:sle="http://schemas.microsoft.com/office/drawing/2010/slicer" name="segLinea"/>
            </a:graphicData>
          </a:graphic>
        </xdr:graphicFrame>
      </mc:Choice>
      <mc:Fallback xmlns="">
        <xdr:sp macro="" textlink="">
          <xdr:nvSpPr>
            <xdr:cNvPr id="0" name=""/>
            <xdr:cNvSpPr>
              <a:spLocks noTextEdit="1"/>
            </xdr:cNvSpPr>
          </xdr:nvSpPr>
          <xdr:spPr>
            <a:xfrm>
              <a:off x="1955800" y="1066800"/>
              <a:ext cx="5032376" cy="40640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ENOVO" refreshedDate="46293.706830324074" createdVersion="3" refreshedVersion="8" minRefreshableVersion="3" recordCount="4" xr:uid="{D62DF059-A223-4C7E-8FF5-4D683ECE1B2B}">
  <cacheSource type="worksheet">
    <worksheetSource name="tLinea"/>
  </cacheSource>
  <cacheFields count="1">
    <cacheField name="LíneaTab" numFmtId="0">
      <sharedItems count="4">
        <s v="1 · Ingresos"/>
        <s v="2 · Costo de ventas"/>
        <s v="3 · Gastos operativos"/>
        <s v="4 · Utilidad neta"/>
      </sharedItems>
    </cacheField>
  </cacheFields>
  <extLst>
    <ext xmlns:x14="http://schemas.microsoft.com/office/spreadsheetml/2009/9/main" uri="{725AE2AE-9491-48be-B2B4-4EB974FC3084}">
      <x14:pivotCacheDefinition pivotCacheId="743787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ENOVO" refreshedDate="46293.706832870368" createdVersion="3" refreshedVersion="8" minRefreshableVersion="3" recordCount="276" xr:uid="{296314F1-116E-47EE-B822-3E334D3F4E68}">
  <cacheSource type="worksheet">
    <worksheetSource name="qPPTO"/>
  </cacheSource>
  <cacheFields count="13">
    <cacheField name="Centro de costo" numFmtId="0">
      <sharedItems count="4">
        <s v="Comercial"/>
        <s v="Operaciones"/>
        <s v="Administración"/>
        <s v="Corporativo"/>
      </sharedItems>
    </cacheField>
    <cacheField name="Línea" numFmtId="0">
      <sharedItems count="7">
        <s v="Ingresos operacionales"/>
        <s v="Costo de ventas"/>
        <s v="Gastos de administración"/>
        <s v="Gastos de ventas"/>
        <s v="Gastos financieros"/>
        <s v="Otros ingresos no operacionales"/>
        <s v="Otros gastos no operacionales"/>
      </sharedItems>
    </cacheField>
    <cacheField name="Cuenta" numFmtId="0">
      <sharedItems count="23">
        <s v="Venta de mercancía nacional"/>
        <s v="Ventas canal digital"/>
        <s v="Servicios de instalación"/>
        <s v="Costo de mercancía vendida"/>
        <s v="Fletes de compra"/>
        <s v="Mermas y averías"/>
        <s v="Nómina administrativa"/>
        <s v="Arrendamiento de oficinas"/>
        <s v="Servicios públicos"/>
        <s v="Honorarios profesionales"/>
        <s v="Tecnología y software"/>
        <s v="Depreciación y amortización"/>
        <s v="Nómina comercial"/>
        <s v="Comisiones de ventas"/>
        <s v="Publicidad y mercadeo"/>
        <s v="Transporte y distribución"/>
        <s v="Nómina de bodega"/>
        <s v="Arrendamiento de bodega"/>
        <s v="Mantenimiento"/>
        <s v="Intereses financieros"/>
        <s v="Comisiones bancarias"/>
        <s v="Ingresos por arrendamientos"/>
        <s v="Gastos extraordinarios"/>
      </sharedItems>
    </cacheField>
    <cacheField name="Tipo" numFmtId="0">
      <sharedItems count="3">
        <s v="Ingreso"/>
        <s v="Costo"/>
        <s v="Gasto"/>
      </sharedItems>
    </cacheField>
    <cacheField name="Driver" numFmtId="0">
      <sharedItems/>
    </cacheField>
    <cacheField name="Mes" numFmtId="0">
      <sharedItems/>
    </cacheField>
    <cacheField name="MesNum" numFmtId="0">
      <sharedItems containsSemiMixedTypes="0" containsString="0" containsNumber="1" containsInteger="1" minValue="1" maxValue="12"/>
    </cacheField>
    <cacheField name="Real" numFmtId="0">
      <sharedItems containsSemiMixedTypes="0" containsString="0" containsNumber="1" containsInteger="1" minValue="3300000" maxValue="960000000"/>
    </cacheField>
    <cacheField name="Presupuesto" numFmtId="0">
      <sharedItems containsSemiMixedTypes="0" containsString="0" containsNumber="1" minValue="3300000" maxValue="1068480000"/>
    </cacheField>
    <cacheField name="Var" numFmtId="0">
      <sharedItems containsSemiMixedTypes="0" containsString="0" containsNumber="1" minValue="-2200000" maxValue="108480000"/>
    </cacheField>
    <cacheField name="VarAbs" numFmtId="0">
      <sharedItems containsSemiMixedTypes="0" containsString="0" containsNumber="1" minValue="0" maxValue="108480000"/>
    </cacheField>
    <cacheField name="VarPct" numFmtId="0">
      <sharedItems containsSemiMixedTypes="0" containsString="0" containsNumber="1" minValue="-0.22" maxValue="0.35199999999999981"/>
    </cacheField>
    <cacheField name="Real 2027" numFmtId="0">
      <sharedItems containsSemiMixedTypes="0" containsString="0" containsNumber="1" containsInteger="1" minValue="3246000" maxValue="1049757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r>
  <r>
    <x v="1"/>
  </r>
  <r>
    <x v="2"/>
  </r>
  <r>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
  <r>
    <x v="0"/>
    <x v="0"/>
    <x v="0"/>
    <x v="0"/>
    <s v="Ventas"/>
    <s v="Ene"/>
    <n v="1"/>
    <n v="640000000"/>
    <n v="712320000"/>
    <n v="72320000"/>
    <n v="72320000"/>
    <n v="0.113"/>
    <n v="713046000"/>
  </r>
  <r>
    <x v="0"/>
    <x v="0"/>
    <x v="0"/>
    <x v="0"/>
    <s v="Ventas"/>
    <s v="Feb"/>
    <n v="2"/>
    <n v="680000000"/>
    <n v="756840000"/>
    <n v="76840000"/>
    <n v="76840000"/>
    <n v="0.113"/>
    <n v="755737000"/>
  </r>
  <r>
    <x v="0"/>
    <x v="0"/>
    <x v="0"/>
    <x v="0"/>
    <s v="Ventas"/>
    <s v="Mar"/>
    <n v="3"/>
    <n v="760000000"/>
    <n v="845880000"/>
    <n v="85880000"/>
    <n v="85880000"/>
    <n v="0.113"/>
    <n v="846885000"/>
  </r>
  <r>
    <x v="0"/>
    <x v="0"/>
    <x v="0"/>
    <x v="0"/>
    <s v="Ventas"/>
    <s v="Abr"/>
    <n v="4"/>
    <n v="760000000"/>
    <n v="845880000"/>
    <n v="85880000"/>
    <n v="85880000"/>
    <n v="0.113"/>
    <n v="836683000"/>
  </r>
  <r>
    <x v="0"/>
    <x v="0"/>
    <x v="0"/>
    <x v="0"/>
    <s v="Ventas"/>
    <s v="May"/>
    <n v="5"/>
    <n v="800000000"/>
    <n v="890400000"/>
    <n v="90400000"/>
    <n v="90400000"/>
    <n v="0.113"/>
    <n v="855672000"/>
  </r>
  <r>
    <x v="0"/>
    <x v="0"/>
    <x v="0"/>
    <x v="0"/>
    <s v="Ventas"/>
    <s v="Jun"/>
    <n v="6"/>
    <n v="800000000"/>
    <n v="890400000"/>
    <n v="90400000"/>
    <n v="90400000"/>
    <n v="0.113"/>
    <n v="895817000"/>
  </r>
  <r>
    <x v="0"/>
    <x v="0"/>
    <x v="0"/>
    <x v="0"/>
    <s v="Ventas"/>
    <s v="Jul"/>
    <n v="7"/>
    <n v="800000000"/>
    <n v="890400000"/>
    <n v="90400000"/>
    <n v="90400000"/>
    <n v="0.113"/>
    <n v="883130000"/>
  </r>
  <r>
    <x v="0"/>
    <x v="0"/>
    <x v="0"/>
    <x v="0"/>
    <s v="Ventas"/>
    <s v="Ago"/>
    <n v="8"/>
    <n v="840000000"/>
    <n v="934920000"/>
    <n v="94920000"/>
    <n v="94920000"/>
    <n v="0.113"/>
    <n v="931777000"/>
  </r>
  <r>
    <x v="0"/>
    <x v="0"/>
    <x v="0"/>
    <x v="0"/>
    <s v="Ventas"/>
    <s v="Sep"/>
    <n v="9"/>
    <n v="800000000"/>
    <n v="890400000"/>
    <n v="90400000"/>
    <n v="90400000"/>
    <n v="0.113"/>
    <n v="870837000"/>
  </r>
  <r>
    <x v="0"/>
    <x v="0"/>
    <x v="0"/>
    <x v="0"/>
    <s v="Ventas"/>
    <s v="Oct"/>
    <n v="10"/>
    <n v="840000000"/>
    <n v="934920000"/>
    <n v="94920000"/>
    <n v="94920000"/>
    <n v="0.113"/>
    <n v="917337000"/>
  </r>
  <r>
    <x v="0"/>
    <x v="0"/>
    <x v="0"/>
    <x v="0"/>
    <s v="Ventas"/>
    <s v="Nov"/>
    <n v="11"/>
    <n v="920000000"/>
    <n v="1023960000"/>
    <n v="103960000"/>
    <n v="103960000"/>
    <n v="0.113"/>
    <n v="1009300000"/>
  </r>
  <r>
    <x v="0"/>
    <x v="0"/>
    <x v="0"/>
    <x v="0"/>
    <s v="Ventas"/>
    <s v="Dic"/>
    <n v="12"/>
    <n v="960000000"/>
    <n v="1068480000"/>
    <n v="108480000"/>
    <n v="108480000"/>
    <n v="0.113"/>
    <n v="1049757000"/>
  </r>
  <r>
    <x v="0"/>
    <x v="0"/>
    <x v="1"/>
    <x v="0"/>
    <s v="Ventas"/>
    <s v="Ene"/>
    <n v="1"/>
    <n v="120000000"/>
    <n v="153600000"/>
    <n v="33600000"/>
    <n v="33600000"/>
    <n v="0.28000000000000003"/>
    <n v="144875000"/>
  </r>
  <r>
    <x v="0"/>
    <x v="0"/>
    <x v="1"/>
    <x v="0"/>
    <s v="Ventas"/>
    <s v="Feb"/>
    <n v="2"/>
    <n v="127500000"/>
    <n v="163200000"/>
    <n v="35700000"/>
    <n v="35700000"/>
    <n v="0.28000000000000003"/>
    <n v="153285000"/>
  </r>
  <r>
    <x v="0"/>
    <x v="0"/>
    <x v="1"/>
    <x v="0"/>
    <s v="Ventas"/>
    <s v="Mar"/>
    <n v="3"/>
    <n v="142500000"/>
    <n v="182400000"/>
    <n v="39900000"/>
    <n v="39900000"/>
    <n v="0.28000000000000003"/>
    <n v="173145000"/>
  </r>
  <r>
    <x v="0"/>
    <x v="0"/>
    <x v="1"/>
    <x v="0"/>
    <s v="Ventas"/>
    <s v="Abr"/>
    <n v="4"/>
    <n v="142500000"/>
    <n v="182400000"/>
    <n v="39900000"/>
    <n v="39900000"/>
    <n v="0.28000000000000003"/>
    <n v="177842000"/>
  </r>
  <r>
    <x v="0"/>
    <x v="0"/>
    <x v="1"/>
    <x v="0"/>
    <s v="Ventas"/>
    <s v="May"/>
    <n v="5"/>
    <n v="150000000"/>
    <n v="192000000"/>
    <n v="42000000"/>
    <n v="42000000"/>
    <n v="0.28000000000000003"/>
    <n v="187633000"/>
  </r>
  <r>
    <x v="0"/>
    <x v="0"/>
    <x v="1"/>
    <x v="0"/>
    <s v="Ventas"/>
    <s v="Jun"/>
    <n v="6"/>
    <n v="150000000"/>
    <n v="192000000"/>
    <n v="42000000"/>
    <n v="42000000"/>
    <n v="0.28000000000000003"/>
    <n v="180180000"/>
  </r>
  <r>
    <x v="0"/>
    <x v="0"/>
    <x v="1"/>
    <x v="0"/>
    <s v="Ventas"/>
    <s v="Jul"/>
    <n v="7"/>
    <n v="150000000"/>
    <n v="192000000"/>
    <n v="42000000"/>
    <n v="42000000"/>
    <n v="0.28000000000000003"/>
    <n v="180550000"/>
  </r>
  <r>
    <x v="0"/>
    <x v="0"/>
    <x v="1"/>
    <x v="0"/>
    <s v="Ventas"/>
    <s v="Ago"/>
    <n v="8"/>
    <n v="157500000"/>
    <n v="201600000"/>
    <n v="44100000"/>
    <n v="44100000"/>
    <n v="0.28000000000000003"/>
    <n v="192505000"/>
  </r>
  <r>
    <x v="0"/>
    <x v="0"/>
    <x v="1"/>
    <x v="0"/>
    <s v="Ventas"/>
    <s v="Sep"/>
    <n v="9"/>
    <n v="150000000"/>
    <n v="192000000"/>
    <n v="42000000"/>
    <n v="42000000"/>
    <n v="0.28000000000000003"/>
    <n v="182139000"/>
  </r>
  <r>
    <x v="0"/>
    <x v="0"/>
    <x v="1"/>
    <x v="0"/>
    <s v="Ventas"/>
    <s v="Oct"/>
    <n v="10"/>
    <n v="157500000"/>
    <n v="201600000"/>
    <n v="44100000"/>
    <n v="44100000"/>
    <n v="0.28000000000000003"/>
    <n v="188789000"/>
  </r>
  <r>
    <x v="0"/>
    <x v="0"/>
    <x v="1"/>
    <x v="0"/>
    <s v="Ventas"/>
    <s v="Nov"/>
    <n v="11"/>
    <n v="172500000"/>
    <n v="220800000"/>
    <n v="48300000"/>
    <n v="48300000"/>
    <n v="0.28000000000000003"/>
    <n v="208436000"/>
  </r>
  <r>
    <x v="0"/>
    <x v="0"/>
    <x v="1"/>
    <x v="0"/>
    <s v="Ventas"/>
    <s v="Dic"/>
    <n v="12"/>
    <n v="180000000"/>
    <n v="230400000"/>
    <n v="50400000"/>
    <n v="50400000"/>
    <n v="0.28000000000000003"/>
    <n v="220883000"/>
  </r>
  <r>
    <x v="0"/>
    <x v="0"/>
    <x v="2"/>
    <x v="0"/>
    <s v="Ventas"/>
    <s v="Ene"/>
    <n v="1"/>
    <n v="40000000"/>
    <n v="44520000"/>
    <n v="4520000"/>
    <n v="4520000"/>
    <n v="0.113"/>
    <n v="44137000"/>
  </r>
  <r>
    <x v="0"/>
    <x v="0"/>
    <x v="2"/>
    <x v="0"/>
    <s v="Ventas"/>
    <s v="Feb"/>
    <n v="2"/>
    <n v="42500000"/>
    <n v="47302500"/>
    <n v="4802500"/>
    <n v="4802500"/>
    <n v="0.113"/>
    <n v="47424000"/>
  </r>
  <r>
    <x v="0"/>
    <x v="0"/>
    <x v="2"/>
    <x v="0"/>
    <s v="Ventas"/>
    <s v="Mar"/>
    <n v="3"/>
    <n v="47500000"/>
    <n v="52867500"/>
    <n v="5367500"/>
    <n v="5367500"/>
    <n v="0.113"/>
    <n v="53065000"/>
  </r>
  <r>
    <x v="0"/>
    <x v="0"/>
    <x v="2"/>
    <x v="0"/>
    <s v="Ventas"/>
    <s v="Abr"/>
    <n v="4"/>
    <n v="47500000"/>
    <n v="52867500"/>
    <n v="5367500"/>
    <n v="5367500"/>
    <n v="0.113"/>
    <n v="52126000"/>
  </r>
  <r>
    <x v="0"/>
    <x v="0"/>
    <x v="2"/>
    <x v="0"/>
    <s v="Ventas"/>
    <s v="May"/>
    <n v="5"/>
    <n v="50000000"/>
    <n v="55650000"/>
    <n v="5650000"/>
    <n v="5650000"/>
    <n v="0.113"/>
    <n v="55589000"/>
  </r>
  <r>
    <x v="0"/>
    <x v="0"/>
    <x v="2"/>
    <x v="0"/>
    <s v="Ventas"/>
    <s v="Jun"/>
    <n v="6"/>
    <n v="50000000"/>
    <n v="55650000"/>
    <n v="5650000"/>
    <n v="5650000"/>
    <n v="0.113"/>
    <n v="54926000"/>
  </r>
  <r>
    <x v="0"/>
    <x v="0"/>
    <x v="2"/>
    <x v="0"/>
    <s v="Ventas"/>
    <s v="Jul"/>
    <n v="7"/>
    <n v="50000000"/>
    <n v="55650000"/>
    <n v="5650000"/>
    <n v="5650000"/>
    <n v="0.113"/>
    <n v="56436000"/>
  </r>
  <r>
    <x v="0"/>
    <x v="0"/>
    <x v="2"/>
    <x v="0"/>
    <s v="Ventas"/>
    <s v="Ago"/>
    <n v="8"/>
    <n v="52500000"/>
    <n v="58432500"/>
    <n v="5932500"/>
    <n v="5932500"/>
    <n v="0.113"/>
    <n v="57178000"/>
  </r>
  <r>
    <x v="0"/>
    <x v="0"/>
    <x v="2"/>
    <x v="0"/>
    <s v="Ventas"/>
    <s v="Sep"/>
    <n v="9"/>
    <n v="50000000"/>
    <n v="55650000"/>
    <n v="5650000"/>
    <n v="5650000"/>
    <n v="0.113"/>
    <n v="56871000"/>
  </r>
  <r>
    <x v="0"/>
    <x v="0"/>
    <x v="2"/>
    <x v="0"/>
    <s v="Ventas"/>
    <s v="Oct"/>
    <n v="10"/>
    <n v="52500000"/>
    <n v="58432500"/>
    <n v="5932500"/>
    <n v="5932500"/>
    <n v="0.113"/>
    <n v="57258000"/>
  </r>
  <r>
    <x v="0"/>
    <x v="0"/>
    <x v="2"/>
    <x v="0"/>
    <s v="Ventas"/>
    <s v="Nov"/>
    <n v="11"/>
    <n v="57500000"/>
    <n v="63997500"/>
    <n v="6497500"/>
    <n v="6497500"/>
    <n v="0.113"/>
    <n v="65007000"/>
  </r>
  <r>
    <x v="0"/>
    <x v="0"/>
    <x v="2"/>
    <x v="0"/>
    <s v="Ventas"/>
    <s v="Dic"/>
    <n v="12"/>
    <n v="60000000"/>
    <n v="66780000"/>
    <n v="6780000"/>
    <n v="6780000"/>
    <n v="0.113"/>
    <n v="67211000"/>
  </r>
  <r>
    <x v="1"/>
    <x v="1"/>
    <x v="3"/>
    <x v="1"/>
    <s v="Costo variable"/>
    <s v="Ene"/>
    <n v="1"/>
    <n v="466700000"/>
    <n v="521910610.00000006"/>
    <n v="55210610.00000006"/>
    <n v="55210610.00000006"/>
    <n v="0.11830000000000013"/>
    <n v="505292000"/>
  </r>
  <r>
    <x v="1"/>
    <x v="1"/>
    <x v="3"/>
    <x v="1"/>
    <s v="Costo variable"/>
    <s v="Feb"/>
    <n v="2"/>
    <n v="495800000"/>
    <n v="554453140"/>
    <n v="58653140"/>
    <n v="58653140"/>
    <n v="0.1183"/>
    <n v="542318000"/>
  </r>
  <r>
    <x v="1"/>
    <x v="1"/>
    <x v="3"/>
    <x v="1"/>
    <s v="Costo variable"/>
    <s v="Mar"/>
    <n v="3"/>
    <n v="554200000"/>
    <n v="619761860"/>
    <n v="65561860"/>
    <n v="65561860"/>
    <n v="0.1183"/>
    <n v="616983000"/>
  </r>
  <r>
    <x v="1"/>
    <x v="1"/>
    <x v="3"/>
    <x v="1"/>
    <s v="Costo variable"/>
    <s v="Abr"/>
    <n v="4"/>
    <n v="554200000"/>
    <n v="619761860"/>
    <n v="65561860"/>
    <n v="65561860"/>
    <n v="0.1183"/>
    <n v="607213000"/>
  </r>
  <r>
    <x v="1"/>
    <x v="1"/>
    <x v="3"/>
    <x v="1"/>
    <s v="Costo variable"/>
    <s v="May"/>
    <n v="5"/>
    <n v="583300000"/>
    <n v="652304390"/>
    <n v="69004390"/>
    <n v="69004390"/>
    <n v="0.1183"/>
    <n v="624229000"/>
  </r>
  <r>
    <x v="1"/>
    <x v="1"/>
    <x v="3"/>
    <x v="1"/>
    <s v="Costo variable"/>
    <s v="Jun"/>
    <n v="6"/>
    <n v="583300000"/>
    <n v="652304390"/>
    <n v="69004390"/>
    <n v="69004390"/>
    <n v="0.1183"/>
    <n v="632414000"/>
  </r>
  <r>
    <x v="1"/>
    <x v="1"/>
    <x v="3"/>
    <x v="1"/>
    <s v="Costo variable"/>
    <s v="Jul"/>
    <n v="7"/>
    <n v="583300000"/>
    <n v="652304390"/>
    <n v="69004390"/>
    <n v="69004390"/>
    <n v="0.1183"/>
    <n v="638716000"/>
  </r>
  <r>
    <x v="1"/>
    <x v="1"/>
    <x v="3"/>
    <x v="1"/>
    <s v="Costo variable"/>
    <s v="Ago"/>
    <n v="8"/>
    <n v="612500000"/>
    <n v="684958750"/>
    <n v="72458750"/>
    <n v="72458750"/>
    <n v="0.1183"/>
    <n v="675199000"/>
  </r>
  <r>
    <x v="1"/>
    <x v="1"/>
    <x v="3"/>
    <x v="1"/>
    <s v="Costo variable"/>
    <s v="Sep"/>
    <n v="9"/>
    <n v="583300000"/>
    <n v="652304390"/>
    <n v="69004390"/>
    <n v="69004390"/>
    <n v="0.1183"/>
    <n v="643661000"/>
  </r>
  <r>
    <x v="1"/>
    <x v="1"/>
    <x v="3"/>
    <x v="1"/>
    <s v="Costo variable"/>
    <s v="Oct"/>
    <n v="10"/>
    <n v="612500000"/>
    <n v="684958750"/>
    <n v="72458750"/>
    <n v="72458750"/>
    <n v="0.1183"/>
    <n v="657894000"/>
  </r>
  <r>
    <x v="1"/>
    <x v="1"/>
    <x v="3"/>
    <x v="1"/>
    <s v="Costo variable"/>
    <s v="Nov"/>
    <n v="11"/>
    <n v="670800000"/>
    <n v="750155640"/>
    <n v="79355640"/>
    <n v="79355640"/>
    <n v="0.1183"/>
    <n v="734942000"/>
  </r>
  <r>
    <x v="1"/>
    <x v="1"/>
    <x v="3"/>
    <x v="1"/>
    <s v="Costo variable"/>
    <s v="Dic"/>
    <n v="12"/>
    <n v="700100000"/>
    <n v="782921830"/>
    <n v="82821830"/>
    <n v="82821830"/>
    <n v="0.1183"/>
    <n v="753382000"/>
  </r>
  <r>
    <x v="1"/>
    <x v="1"/>
    <x v="4"/>
    <x v="1"/>
    <s v="Costo variable"/>
    <s v="Ene"/>
    <n v="1"/>
    <n v="32000000"/>
    <n v="35785600"/>
    <n v="3785600"/>
    <n v="3785600"/>
    <n v="0.1183"/>
    <n v="38643000"/>
  </r>
  <r>
    <x v="1"/>
    <x v="1"/>
    <x v="4"/>
    <x v="1"/>
    <s v="Costo variable"/>
    <s v="Feb"/>
    <n v="2"/>
    <n v="34000000"/>
    <n v="38022200"/>
    <n v="4022200"/>
    <n v="4022200"/>
    <n v="0.1183"/>
    <n v="40855000"/>
  </r>
  <r>
    <x v="1"/>
    <x v="1"/>
    <x v="4"/>
    <x v="1"/>
    <s v="Costo variable"/>
    <s v="Mar"/>
    <n v="3"/>
    <n v="38000000"/>
    <n v="42495400"/>
    <n v="4495400"/>
    <n v="4495400"/>
    <n v="0.1183"/>
    <n v="45998000"/>
  </r>
  <r>
    <x v="1"/>
    <x v="1"/>
    <x v="4"/>
    <x v="1"/>
    <s v="Costo variable"/>
    <s v="Abr"/>
    <n v="4"/>
    <n v="38000000"/>
    <n v="42495400"/>
    <n v="4495400"/>
    <n v="4495400"/>
    <n v="0.1183"/>
    <n v="45589000"/>
  </r>
  <r>
    <x v="1"/>
    <x v="1"/>
    <x v="4"/>
    <x v="1"/>
    <s v="Costo variable"/>
    <s v="May"/>
    <n v="5"/>
    <n v="40000000"/>
    <n v="44732000"/>
    <n v="4732000"/>
    <n v="4732000"/>
    <n v="0.1183"/>
    <n v="47318000"/>
  </r>
  <r>
    <x v="1"/>
    <x v="1"/>
    <x v="4"/>
    <x v="1"/>
    <s v="Costo variable"/>
    <s v="Jun"/>
    <n v="6"/>
    <n v="40000000"/>
    <n v="44732000"/>
    <n v="4732000"/>
    <n v="4732000"/>
    <n v="0.1183"/>
    <n v="47281000"/>
  </r>
  <r>
    <x v="1"/>
    <x v="1"/>
    <x v="4"/>
    <x v="1"/>
    <s v="Costo variable"/>
    <s v="Jul"/>
    <n v="7"/>
    <n v="40000000"/>
    <n v="44732000"/>
    <n v="4732000"/>
    <n v="4732000"/>
    <n v="0.1183"/>
    <n v="47999000"/>
  </r>
  <r>
    <x v="1"/>
    <x v="1"/>
    <x v="4"/>
    <x v="1"/>
    <s v="Costo variable"/>
    <s v="Ago"/>
    <n v="8"/>
    <n v="42000000"/>
    <n v="46968600"/>
    <n v="4968600"/>
    <n v="4968600"/>
    <n v="0.1183"/>
    <n v="50347000"/>
  </r>
  <r>
    <x v="1"/>
    <x v="1"/>
    <x v="4"/>
    <x v="1"/>
    <s v="Costo variable"/>
    <s v="Sep"/>
    <n v="9"/>
    <n v="40000000"/>
    <n v="44732000"/>
    <n v="4732000"/>
    <n v="4732000"/>
    <n v="0.1183"/>
    <n v="47220000"/>
  </r>
  <r>
    <x v="1"/>
    <x v="1"/>
    <x v="4"/>
    <x v="1"/>
    <s v="Costo variable"/>
    <s v="Oct"/>
    <n v="10"/>
    <n v="42000000"/>
    <n v="46968600"/>
    <n v="4968600"/>
    <n v="4968600"/>
    <n v="0.1183"/>
    <n v="49564000"/>
  </r>
  <r>
    <x v="1"/>
    <x v="1"/>
    <x v="4"/>
    <x v="1"/>
    <s v="Costo variable"/>
    <s v="Nov"/>
    <n v="11"/>
    <n v="46000000"/>
    <n v="51441800"/>
    <n v="5441800"/>
    <n v="5441800"/>
    <n v="0.1183"/>
    <n v="54976000"/>
  </r>
  <r>
    <x v="1"/>
    <x v="1"/>
    <x v="4"/>
    <x v="1"/>
    <s v="Costo variable"/>
    <s v="Dic"/>
    <n v="12"/>
    <n v="48000000"/>
    <n v="53678400"/>
    <n v="5678400"/>
    <n v="5678400"/>
    <n v="0.1183"/>
    <n v="57551000"/>
  </r>
  <r>
    <x v="1"/>
    <x v="1"/>
    <x v="5"/>
    <x v="1"/>
    <s v="Costo variable"/>
    <s v="Ene"/>
    <n v="1"/>
    <n v="10000000"/>
    <n v="11183000"/>
    <n v="1183000"/>
    <n v="1183000"/>
    <n v="0.1183"/>
    <n v="11415000"/>
  </r>
  <r>
    <x v="1"/>
    <x v="1"/>
    <x v="5"/>
    <x v="1"/>
    <s v="Costo variable"/>
    <s v="Feb"/>
    <n v="2"/>
    <n v="10600000"/>
    <n v="11853980"/>
    <n v="1253980"/>
    <n v="1253980"/>
    <n v="0.1183"/>
    <n v="11898000"/>
  </r>
  <r>
    <x v="1"/>
    <x v="1"/>
    <x v="5"/>
    <x v="1"/>
    <s v="Costo variable"/>
    <s v="Mar"/>
    <n v="3"/>
    <n v="11900000"/>
    <n v="13307770"/>
    <n v="1407770"/>
    <n v="1407770"/>
    <n v="0.1183"/>
    <n v="13149000"/>
  </r>
  <r>
    <x v="1"/>
    <x v="1"/>
    <x v="5"/>
    <x v="1"/>
    <s v="Costo variable"/>
    <s v="Abr"/>
    <n v="4"/>
    <n v="11900000"/>
    <n v="13307770"/>
    <n v="1407770"/>
    <n v="1407770"/>
    <n v="0.1183"/>
    <n v="13128000"/>
  </r>
  <r>
    <x v="1"/>
    <x v="1"/>
    <x v="5"/>
    <x v="1"/>
    <s v="Costo variable"/>
    <s v="May"/>
    <n v="5"/>
    <n v="12500000"/>
    <n v="13978750"/>
    <n v="1478750"/>
    <n v="1478750"/>
    <n v="0.1183"/>
    <n v="13589000"/>
  </r>
  <r>
    <x v="1"/>
    <x v="1"/>
    <x v="5"/>
    <x v="1"/>
    <s v="Costo variable"/>
    <s v="Jun"/>
    <n v="6"/>
    <n v="12500000"/>
    <n v="13978750"/>
    <n v="1478750"/>
    <n v="1478750"/>
    <n v="0.1183"/>
    <n v="13975000"/>
  </r>
  <r>
    <x v="1"/>
    <x v="1"/>
    <x v="5"/>
    <x v="1"/>
    <s v="Costo variable"/>
    <s v="Jul"/>
    <n v="7"/>
    <n v="12500000"/>
    <n v="13978750"/>
    <n v="1478750"/>
    <n v="1478750"/>
    <n v="0.1183"/>
    <n v="13599000"/>
  </r>
  <r>
    <x v="1"/>
    <x v="1"/>
    <x v="5"/>
    <x v="1"/>
    <s v="Costo variable"/>
    <s v="Ago"/>
    <n v="8"/>
    <n v="13100000"/>
    <n v="14649730.000000002"/>
    <n v="1549730.0000000019"/>
    <n v="1549730.0000000019"/>
    <n v="0.11830000000000014"/>
    <n v="14745000"/>
  </r>
  <r>
    <x v="1"/>
    <x v="1"/>
    <x v="5"/>
    <x v="1"/>
    <s v="Costo variable"/>
    <s v="Sep"/>
    <n v="9"/>
    <n v="12500000"/>
    <n v="13978750"/>
    <n v="1478750"/>
    <n v="1478750"/>
    <n v="0.1183"/>
    <n v="13881000"/>
  </r>
  <r>
    <x v="1"/>
    <x v="1"/>
    <x v="5"/>
    <x v="1"/>
    <s v="Costo variable"/>
    <s v="Oct"/>
    <n v="10"/>
    <n v="13100000"/>
    <n v="14649730.000000002"/>
    <n v="1549730.0000000019"/>
    <n v="1549730.0000000019"/>
    <n v="0.11830000000000014"/>
    <n v="14746000"/>
  </r>
  <r>
    <x v="1"/>
    <x v="1"/>
    <x v="5"/>
    <x v="1"/>
    <s v="Costo variable"/>
    <s v="Nov"/>
    <n v="11"/>
    <n v="14400000"/>
    <n v="16103520.000000002"/>
    <n v="1703520.0000000019"/>
    <n v="1703520.0000000019"/>
    <n v="0.11830000000000013"/>
    <n v="15926000"/>
  </r>
  <r>
    <x v="1"/>
    <x v="1"/>
    <x v="5"/>
    <x v="1"/>
    <s v="Costo variable"/>
    <s v="Dic"/>
    <n v="12"/>
    <n v="15000000"/>
    <n v="16774500.000000002"/>
    <n v="1774500.0000000019"/>
    <n v="1774500.0000000019"/>
    <n v="0.11830000000000013"/>
    <n v="16801000"/>
  </r>
  <r>
    <x v="2"/>
    <x v="2"/>
    <x v="6"/>
    <x v="2"/>
    <s v="Nómina"/>
    <s v="Ene"/>
    <n v="1"/>
    <n v="50000000"/>
    <n v="53500000"/>
    <n v="3500000"/>
    <n v="3500000"/>
    <n v="7.0000000000000007E-2"/>
    <n v="54372000"/>
  </r>
  <r>
    <x v="2"/>
    <x v="2"/>
    <x v="6"/>
    <x v="2"/>
    <s v="Nómina"/>
    <s v="Feb"/>
    <n v="2"/>
    <n v="50000000"/>
    <n v="53500000"/>
    <n v="3500000"/>
    <n v="3500000"/>
    <n v="7.0000000000000007E-2"/>
    <n v="53128000"/>
  </r>
  <r>
    <x v="2"/>
    <x v="2"/>
    <x v="6"/>
    <x v="2"/>
    <s v="Nómina"/>
    <s v="Mar"/>
    <n v="3"/>
    <n v="50000000"/>
    <n v="53500000"/>
    <n v="3500000"/>
    <n v="3500000"/>
    <n v="7.0000000000000007E-2"/>
    <n v="53226000"/>
  </r>
  <r>
    <x v="2"/>
    <x v="2"/>
    <x v="6"/>
    <x v="2"/>
    <s v="Nómina"/>
    <s v="Abr"/>
    <n v="4"/>
    <n v="50000000"/>
    <n v="53500000"/>
    <n v="3500000"/>
    <n v="3500000"/>
    <n v="7.0000000000000007E-2"/>
    <n v="53441000"/>
  </r>
  <r>
    <x v="2"/>
    <x v="2"/>
    <x v="6"/>
    <x v="2"/>
    <s v="Nómina"/>
    <s v="May"/>
    <n v="5"/>
    <n v="50000000"/>
    <n v="53500000"/>
    <n v="3500000"/>
    <n v="3500000"/>
    <n v="7.0000000000000007E-2"/>
    <n v="54341000"/>
  </r>
  <r>
    <x v="2"/>
    <x v="2"/>
    <x v="6"/>
    <x v="2"/>
    <s v="Nómina"/>
    <s v="Jun"/>
    <n v="6"/>
    <n v="50000000"/>
    <n v="53500000"/>
    <n v="3500000"/>
    <n v="3500000"/>
    <n v="7.0000000000000007E-2"/>
    <n v="51809000"/>
  </r>
  <r>
    <x v="2"/>
    <x v="2"/>
    <x v="6"/>
    <x v="2"/>
    <s v="Nómina"/>
    <s v="Jul"/>
    <n v="7"/>
    <n v="50000000"/>
    <n v="53500000"/>
    <n v="3500000"/>
    <n v="3500000"/>
    <n v="7.0000000000000007E-2"/>
    <n v="53941000"/>
  </r>
  <r>
    <x v="2"/>
    <x v="2"/>
    <x v="6"/>
    <x v="2"/>
    <s v="Nómina"/>
    <s v="Ago"/>
    <n v="8"/>
    <n v="50000000"/>
    <n v="53500000"/>
    <n v="3500000"/>
    <n v="3500000"/>
    <n v="7.0000000000000007E-2"/>
    <n v="54309000"/>
  </r>
  <r>
    <x v="2"/>
    <x v="2"/>
    <x v="6"/>
    <x v="2"/>
    <s v="Nómina"/>
    <s v="Sep"/>
    <n v="9"/>
    <n v="50000000"/>
    <n v="53500000"/>
    <n v="3500000"/>
    <n v="3500000"/>
    <n v="7.0000000000000007E-2"/>
    <n v="53288000"/>
  </r>
  <r>
    <x v="2"/>
    <x v="2"/>
    <x v="6"/>
    <x v="2"/>
    <s v="Nómina"/>
    <s v="Oct"/>
    <n v="10"/>
    <n v="50000000"/>
    <n v="53500000"/>
    <n v="3500000"/>
    <n v="3500000"/>
    <n v="7.0000000000000007E-2"/>
    <n v="53215000"/>
  </r>
  <r>
    <x v="2"/>
    <x v="2"/>
    <x v="6"/>
    <x v="2"/>
    <s v="Nómina"/>
    <s v="Nov"/>
    <n v="11"/>
    <n v="50000000"/>
    <n v="53500000"/>
    <n v="3500000"/>
    <n v="3500000"/>
    <n v="7.0000000000000007E-2"/>
    <n v="53230000"/>
  </r>
  <r>
    <x v="2"/>
    <x v="2"/>
    <x v="6"/>
    <x v="2"/>
    <s v="Nómina"/>
    <s v="Dic"/>
    <n v="12"/>
    <n v="50000000"/>
    <n v="53500000"/>
    <n v="3500000"/>
    <n v="3500000"/>
    <n v="7.0000000000000007E-2"/>
    <n v="52501000"/>
  </r>
  <r>
    <x v="2"/>
    <x v="2"/>
    <x v="7"/>
    <x v="2"/>
    <s v="IPC"/>
    <s v="Ene"/>
    <n v="1"/>
    <n v="15000000"/>
    <n v="15600000"/>
    <n v="600000"/>
    <n v="600000"/>
    <n v="0.04"/>
    <n v="15520000"/>
  </r>
  <r>
    <x v="2"/>
    <x v="2"/>
    <x v="7"/>
    <x v="2"/>
    <s v="IPC"/>
    <s v="Feb"/>
    <n v="2"/>
    <n v="15000000"/>
    <n v="15600000"/>
    <n v="600000"/>
    <n v="600000"/>
    <n v="0.04"/>
    <n v="15871000"/>
  </r>
  <r>
    <x v="2"/>
    <x v="2"/>
    <x v="7"/>
    <x v="2"/>
    <s v="IPC"/>
    <s v="Mar"/>
    <n v="3"/>
    <n v="15000000"/>
    <n v="15600000"/>
    <n v="600000"/>
    <n v="600000"/>
    <n v="0.04"/>
    <n v="16161000"/>
  </r>
  <r>
    <x v="2"/>
    <x v="2"/>
    <x v="7"/>
    <x v="2"/>
    <s v="IPC"/>
    <s v="Abr"/>
    <n v="4"/>
    <n v="15000000"/>
    <n v="15600000"/>
    <n v="600000"/>
    <n v="600000"/>
    <n v="0.04"/>
    <n v="15854000"/>
  </r>
  <r>
    <x v="2"/>
    <x v="2"/>
    <x v="7"/>
    <x v="2"/>
    <s v="IPC"/>
    <s v="May"/>
    <n v="5"/>
    <n v="15000000"/>
    <n v="15600000"/>
    <n v="600000"/>
    <n v="600000"/>
    <n v="0.04"/>
    <n v="15363000"/>
  </r>
  <r>
    <x v="2"/>
    <x v="2"/>
    <x v="7"/>
    <x v="2"/>
    <s v="IPC"/>
    <s v="Jun"/>
    <n v="6"/>
    <n v="15000000"/>
    <n v="15600000"/>
    <n v="600000"/>
    <n v="600000"/>
    <n v="0.04"/>
    <n v="15493000"/>
  </r>
  <r>
    <x v="2"/>
    <x v="2"/>
    <x v="7"/>
    <x v="2"/>
    <s v="IPC"/>
    <s v="Jul"/>
    <n v="7"/>
    <n v="15000000"/>
    <n v="15600000"/>
    <n v="600000"/>
    <n v="600000"/>
    <n v="0.04"/>
    <n v="15741000"/>
  </r>
  <r>
    <x v="2"/>
    <x v="2"/>
    <x v="7"/>
    <x v="2"/>
    <s v="IPC"/>
    <s v="Ago"/>
    <n v="8"/>
    <n v="15000000"/>
    <n v="15600000"/>
    <n v="600000"/>
    <n v="600000"/>
    <n v="0.04"/>
    <n v="15615000"/>
  </r>
  <r>
    <x v="2"/>
    <x v="2"/>
    <x v="7"/>
    <x v="2"/>
    <s v="IPC"/>
    <s v="Sep"/>
    <n v="9"/>
    <n v="15000000"/>
    <n v="15600000"/>
    <n v="600000"/>
    <n v="600000"/>
    <n v="0.04"/>
    <n v="15559000"/>
  </r>
  <r>
    <x v="2"/>
    <x v="2"/>
    <x v="7"/>
    <x v="2"/>
    <s v="IPC"/>
    <s v="Oct"/>
    <n v="10"/>
    <n v="15000000"/>
    <n v="15600000"/>
    <n v="600000"/>
    <n v="600000"/>
    <n v="0.04"/>
    <n v="15300000"/>
  </r>
  <r>
    <x v="2"/>
    <x v="2"/>
    <x v="7"/>
    <x v="2"/>
    <s v="IPC"/>
    <s v="Nov"/>
    <n v="11"/>
    <n v="15000000"/>
    <n v="15600000"/>
    <n v="600000"/>
    <n v="600000"/>
    <n v="0.04"/>
    <n v="15119000"/>
  </r>
  <r>
    <x v="2"/>
    <x v="2"/>
    <x v="7"/>
    <x v="2"/>
    <s v="IPC"/>
    <s v="Dic"/>
    <n v="12"/>
    <n v="15000000"/>
    <n v="15600000"/>
    <n v="600000"/>
    <n v="600000"/>
    <n v="0.04"/>
    <n v="15765000"/>
  </r>
  <r>
    <x v="2"/>
    <x v="2"/>
    <x v="8"/>
    <x v="2"/>
    <s v="IPC"/>
    <s v="Ene"/>
    <n v="1"/>
    <n v="7000000"/>
    <n v="7280000"/>
    <n v="280000"/>
    <n v="280000"/>
    <n v="0.04"/>
    <n v="7348000"/>
  </r>
  <r>
    <x v="2"/>
    <x v="2"/>
    <x v="8"/>
    <x v="2"/>
    <s v="IPC"/>
    <s v="Feb"/>
    <n v="2"/>
    <n v="7000000"/>
    <n v="7280000"/>
    <n v="280000"/>
    <n v="280000"/>
    <n v="0.04"/>
    <n v="7302000"/>
  </r>
  <r>
    <x v="2"/>
    <x v="2"/>
    <x v="8"/>
    <x v="2"/>
    <s v="IPC"/>
    <s v="Mar"/>
    <n v="3"/>
    <n v="7000000"/>
    <n v="7280000"/>
    <n v="280000"/>
    <n v="280000"/>
    <n v="0.04"/>
    <n v="7231000"/>
  </r>
  <r>
    <x v="2"/>
    <x v="2"/>
    <x v="8"/>
    <x v="2"/>
    <s v="IPC"/>
    <s v="Abr"/>
    <n v="4"/>
    <n v="7000000"/>
    <n v="7280000"/>
    <n v="280000"/>
    <n v="280000"/>
    <n v="0.04"/>
    <n v="7322000"/>
  </r>
  <r>
    <x v="2"/>
    <x v="2"/>
    <x v="8"/>
    <x v="2"/>
    <s v="IPC"/>
    <s v="May"/>
    <n v="5"/>
    <n v="7000000"/>
    <n v="7280000"/>
    <n v="280000"/>
    <n v="280000"/>
    <n v="0.04"/>
    <n v="7206000"/>
  </r>
  <r>
    <x v="2"/>
    <x v="2"/>
    <x v="8"/>
    <x v="2"/>
    <s v="IPC"/>
    <s v="Jun"/>
    <n v="6"/>
    <n v="7000000"/>
    <n v="7280000"/>
    <n v="280000"/>
    <n v="280000"/>
    <n v="0.04"/>
    <n v="7238000"/>
  </r>
  <r>
    <x v="2"/>
    <x v="2"/>
    <x v="8"/>
    <x v="2"/>
    <s v="IPC"/>
    <s v="Jul"/>
    <n v="7"/>
    <n v="7000000"/>
    <n v="7280000"/>
    <n v="280000"/>
    <n v="280000"/>
    <n v="0.04"/>
    <n v="7276000"/>
  </r>
  <r>
    <x v="2"/>
    <x v="2"/>
    <x v="8"/>
    <x v="2"/>
    <s v="IPC"/>
    <s v="Ago"/>
    <n v="8"/>
    <n v="7000000"/>
    <n v="7280000"/>
    <n v="280000"/>
    <n v="280000"/>
    <n v="0.04"/>
    <n v="7396000"/>
  </r>
  <r>
    <x v="2"/>
    <x v="2"/>
    <x v="8"/>
    <x v="2"/>
    <s v="IPC"/>
    <s v="Sep"/>
    <n v="9"/>
    <n v="7000000"/>
    <n v="7280000"/>
    <n v="280000"/>
    <n v="280000"/>
    <n v="0.04"/>
    <n v="7373000"/>
  </r>
  <r>
    <x v="2"/>
    <x v="2"/>
    <x v="8"/>
    <x v="2"/>
    <s v="IPC"/>
    <s v="Oct"/>
    <n v="10"/>
    <n v="7000000"/>
    <n v="7280000"/>
    <n v="280000"/>
    <n v="280000"/>
    <n v="0.04"/>
    <n v="7164000"/>
  </r>
  <r>
    <x v="2"/>
    <x v="2"/>
    <x v="8"/>
    <x v="2"/>
    <s v="IPC"/>
    <s v="Nov"/>
    <n v="11"/>
    <n v="7000000"/>
    <n v="7280000"/>
    <n v="280000"/>
    <n v="280000"/>
    <n v="0.04"/>
    <n v="7263000"/>
  </r>
  <r>
    <x v="2"/>
    <x v="2"/>
    <x v="8"/>
    <x v="2"/>
    <s v="IPC"/>
    <s v="Dic"/>
    <n v="12"/>
    <n v="7000000"/>
    <n v="7280000"/>
    <n v="280000"/>
    <n v="280000"/>
    <n v="0.04"/>
    <n v="7437000"/>
  </r>
  <r>
    <x v="2"/>
    <x v="2"/>
    <x v="9"/>
    <x v="2"/>
    <s v="IPC"/>
    <s v="Ene"/>
    <n v="1"/>
    <n v="10000000"/>
    <n v="7800000"/>
    <n v="-2200000"/>
    <n v="2200000"/>
    <n v="-0.22"/>
    <n v="8717000"/>
  </r>
  <r>
    <x v="2"/>
    <x v="2"/>
    <x v="9"/>
    <x v="2"/>
    <s v="IPC"/>
    <s v="Feb"/>
    <n v="2"/>
    <n v="10000000"/>
    <n v="7800000"/>
    <n v="-2200000"/>
    <n v="2200000"/>
    <n v="-0.22"/>
    <n v="8803000"/>
  </r>
  <r>
    <x v="2"/>
    <x v="2"/>
    <x v="9"/>
    <x v="2"/>
    <s v="IPC"/>
    <s v="Mar"/>
    <n v="3"/>
    <n v="10000000"/>
    <n v="7800000"/>
    <n v="-2200000"/>
    <n v="2200000"/>
    <n v="-0.22"/>
    <n v="8862000"/>
  </r>
  <r>
    <x v="2"/>
    <x v="2"/>
    <x v="9"/>
    <x v="2"/>
    <s v="IPC"/>
    <s v="Abr"/>
    <n v="4"/>
    <n v="10000000"/>
    <n v="7800000"/>
    <n v="-2200000"/>
    <n v="2200000"/>
    <n v="-0.22"/>
    <n v="8628000"/>
  </r>
  <r>
    <x v="2"/>
    <x v="2"/>
    <x v="9"/>
    <x v="2"/>
    <s v="IPC"/>
    <s v="May"/>
    <n v="5"/>
    <n v="10000000"/>
    <n v="7800000"/>
    <n v="-2200000"/>
    <n v="2200000"/>
    <n v="-0.22"/>
    <n v="8768000"/>
  </r>
  <r>
    <x v="2"/>
    <x v="2"/>
    <x v="9"/>
    <x v="2"/>
    <s v="IPC"/>
    <s v="Jun"/>
    <n v="6"/>
    <n v="10000000"/>
    <n v="7800000"/>
    <n v="-2200000"/>
    <n v="2200000"/>
    <n v="-0.22"/>
    <n v="8712000"/>
  </r>
  <r>
    <x v="2"/>
    <x v="2"/>
    <x v="9"/>
    <x v="2"/>
    <s v="IPC"/>
    <s v="Jul"/>
    <n v="7"/>
    <n v="10000000"/>
    <n v="7800000"/>
    <n v="-2200000"/>
    <n v="2200000"/>
    <n v="-0.22"/>
    <n v="8795000"/>
  </r>
  <r>
    <x v="2"/>
    <x v="2"/>
    <x v="9"/>
    <x v="2"/>
    <s v="IPC"/>
    <s v="Ago"/>
    <n v="8"/>
    <n v="10000000"/>
    <n v="7800000"/>
    <n v="-2200000"/>
    <n v="2200000"/>
    <n v="-0.22"/>
    <n v="8695000"/>
  </r>
  <r>
    <x v="2"/>
    <x v="2"/>
    <x v="9"/>
    <x v="2"/>
    <s v="IPC"/>
    <s v="Sep"/>
    <n v="9"/>
    <n v="10000000"/>
    <n v="7800000"/>
    <n v="-2200000"/>
    <n v="2200000"/>
    <n v="-0.22"/>
    <n v="8602000"/>
  </r>
  <r>
    <x v="2"/>
    <x v="2"/>
    <x v="9"/>
    <x v="2"/>
    <s v="IPC"/>
    <s v="Oct"/>
    <n v="10"/>
    <n v="10000000"/>
    <n v="7800000"/>
    <n v="-2200000"/>
    <n v="2200000"/>
    <n v="-0.22"/>
    <n v="8573000"/>
  </r>
  <r>
    <x v="2"/>
    <x v="2"/>
    <x v="9"/>
    <x v="2"/>
    <s v="IPC"/>
    <s v="Nov"/>
    <n v="11"/>
    <n v="10000000"/>
    <n v="7800000"/>
    <n v="-2200000"/>
    <n v="2200000"/>
    <n v="-0.22"/>
    <n v="8566000"/>
  </r>
  <r>
    <x v="2"/>
    <x v="2"/>
    <x v="9"/>
    <x v="2"/>
    <s v="IPC"/>
    <s v="Dic"/>
    <n v="12"/>
    <n v="10000000"/>
    <n v="7800000"/>
    <n v="-2200000"/>
    <n v="2200000"/>
    <n v="-0.22"/>
    <n v="8721000"/>
  </r>
  <r>
    <x v="2"/>
    <x v="2"/>
    <x v="10"/>
    <x v="2"/>
    <s v="IPC"/>
    <s v="Ene"/>
    <n v="1"/>
    <n v="8000000"/>
    <n v="8320000"/>
    <n v="320000"/>
    <n v="320000"/>
    <n v="0.04"/>
    <n v="8113000"/>
  </r>
  <r>
    <x v="2"/>
    <x v="2"/>
    <x v="10"/>
    <x v="2"/>
    <s v="IPC"/>
    <s v="Feb"/>
    <n v="2"/>
    <n v="8000000"/>
    <n v="8320000"/>
    <n v="320000"/>
    <n v="320000"/>
    <n v="0.04"/>
    <n v="8283000"/>
  </r>
  <r>
    <x v="2"/>
    <x v="2"/>
    <x v="10"/>
    <x v="2"/>
    <s v="IPC"/>
    <s v="Mar"/>
    <n v="3"/>
    <n v="8000000"/>
    <n v="8320000"/>
    <n v="320000"/>
    <n v="320000"/>
    <n v="0.04"/>
    <n v="8318000"/>
  </r>
  <r>
    <x v="2"/>
    <x v="2"/>
    <x v="10"/>
    <x v="2"/>
    <s v="IPC"/>
    <s v="Abr"/>
    <n v="4"/>
    <n v="8000000"/>
    <n v="8320000"/>
    <n v="320000"/>
    <n v="320000"/>
    <n v="0.04"/>
    <n v="8399000"/>
  </r>
  <r>
    <x v="2"/>
    <x v="2"/>
    <x v="10"/>
    <x v="2"/>
    <s v="IPC"/>
    <s v="May"/>
    <n v="5"/>
    <n v="8000000"/>
    <n v="8320000"/>
    <n v="320000"/>
    <n v="320000"/>
    <n v="0.04"/>
    <n v="8124000"/>
  </r>
  <r>
    <x v="2"/>
    <x v="2"/>
    <x v="10"/>
    <x v="2"/>
    <s v="IPC"/>
    <s v="Jun"/>
    <n v="6"/>
    <n v="8000000"/>
    <n v="8320000"/>
    <n v="320000"/>
    <n v="320000"/>
    <n v="0.04"/>
    <n v="8347000"/>
  </r>
  <r>
    <x v="2"/>
    <x v="2"/>
    <x v="10"/>
    <x v="2"/>
    <s v="IPC"/>
    <s v="Jul"/>
    <n v="7"/>
    <n v="8000000"/>
    <n v="8320000"/>
    <n v="320000"/>
    <n v="320000"/>
    <n v="0.04"/>
    <n v="8376000"/>
  </r>
  <r>
    <x v="2"/>
    <x v="2"/>
    <x v="10"/>
    <x v="2"/>
    <s v="IPC"/>
    <s v="Ago"/>
    <n v="8"/>
    <n v="8000000"/>
    <n v="8320000"/>
    <n v="320000"/>
    <n v="320000"/>
    <n v="0.04"/>
    <n v="8490000"/>
  </r>
  <r>
    <x v="2"/>
    <x v="2"/>
    <x v="10"/>
    <x v="2"/>
    <s v="IPC"/>
    <s v="Sep"/>
    <n v="9"/>
    <n v="8000000"/>
    <n v="8320000"/>
    <n v="320000"/>
    <n v="320000"/>
    <n v="0.04"/>
    <n v="8308000"/>
  </r>
  <r>
    <x v="2"/>
    <x v="2"/>
    <x v="10"/>
    <x v="2"/>
    <s v="IPC"/>
    <s v="Oct"/>
    <n v="10"/>
    <n v="8000000"/>
    <n v="8320000"/>
    <n v="320000"/>
    <n v="320000"/>
    <n v="0.04"/>
    <n v="8080000"/>
  </r>
  <r>
    <x v="2"/>
    <x v="2"/>
    <x v="10"/>
    <x v="2"/>
    <s v="IPC"/>
    <s v="Nov"/>
    <n v="11"/>
    <n v="8000000"/>
    <n v="8320000"/>
    <n v="320000"/>
    <n v="320000"/>
    <n v="0.04"/>
    <n v="8347000"/>
  </r>
  <r>
    <x v="2"/>
    <x v="2"/>
    <x v="10"/>
    <x v="2"/>
    <s v="IPC"/>
    <s v="Dic"/>
    <n v="12"/>
    <n v="8000000"/>
    <n v="8320000"/>
    <n v="320000"/>
    <n v="320000"/>
    <n v="0.04"/>
    <n v="8123000"/>
  </r>
  <r>
    <x v="2"/>
    <x v="2"/>
    <x v="11"/>
    <x v="2"/>
    <s v="Fijo"/>
    <s v="Ene"/>
    <n v="1"/>
    <n v="15000000"/>
    <n v="15000000"/>
    <n v="0"/>
    <n v="0"/>
    <n v="0"/>
    <n v="14943000"/>
  </r>
  <r>
    <x v="2"/>
    <x v="2"/>
    <x v="11"/>
    <x v="2"/>
    <s v="Fijo"/>
    <s v="Feb"/>
    <n v="2"/>
    <n v="15000000"/>
    <n v="15000000"/>
    <n v="0"/>
    <n v="0"/>
    <n v="0"/>
    <n v="15063000"/>
  </r>
  <r>
    <x v="2"/>
    <x v="2"/>
    <x v="11"/>
    <x v="2"/>
    <s v="Fijo"/>
    <s v="Mar"/>
    <n v="3"/>
    <n v="15000000"/>
    <n v="15000000"/>
    <n v="0"/>
    <n v="0"/>
    <n v="0"/>
    <n v="14993000"/>
  </r>
  <r>
    <x v="2"/>
    <x v="2"/>
    <x v="11"/>
    <x v="2"/>
    <s v="Fijo"/>
    <s v="Abr"/>
    <n v="4"/>
    <n v="15000000"/>
    <n v="15000000"/>
    <n v="0"/>
    <n v="0"/>
    <n v="0"/>
    <n v="15249000"/>
  </r>
  <r>
    <x v="2"/>
    <x v="2"/>
    <x v="11"/>
    <x v="2"/>
    <s v="Fijo"/>
    <s v="May"/>
    <n v="5"/>
    <n v="15000000"/>
    <n v="15000000"/>
    <n v="0"/>
    <n v="0"/>
    <n v="0"/>
    <n v="14810000"/>
  </r>
  <r>
    <x v="2"/>
    <x v="2"/>
    <x v="11"/>
    <x v="2"/>
    <s v="Fijo"/>
    <s v="Jun"/>
    <n v="6"/>
    <n v="15000000"/>
    <n v="15000000"/>
    <n v="0"/>
    <n v="0"/>
    <n v="0"/>
    <n v="15069000"/>
  </r>
  <r>
    <x v="2"/>
    <x v="2"/>
    <x v="11"/>
    <x v="2"/>
    <s v="Fijo"/>
    <s v="Jul"/>
    <n v="7"/>
    <n v="15000000"/>
    <n v="15000000"/>
    <n v="0"/>
    <n v="0"/>
    <n v="0"/>
    <n v="14971000"/>
  </r>
  <r>
    <x v="2"/>
    <x v="2"/>
    <x v="11"/>
    <x v="2"/>
    <s v="Fijo"/>
    <s v="Ago"/>
    <n v="8"/>
    <n v="15000000"/>
    <n v="15000000"/>
    <n v="0"/>
    <n v="0"/>
    <n v="0"/>
    <n v="14771000"/>
  </r>
  <r>
    <x v="2"/>
    <x v="2"/>
    <x v="11"/>
    <x v="2"/>
    <s v="Fijo"/>
    <s v="Sep"/>
    <n v="9"/>
    <n v="15000000"/>
    <n v="15000000"/>
    <n v="0"/>
    <n v="0"/>
    <n v="0"/>
    <n v="14445000"/>
  </r>
  <r>
    <x v="2"/>
    <x v="2"/>
    <x v="11"/>
    <x v="2"/>
    <s v="Fijo"/>
    <s v="Oct"/>
    <n v="10"/>
    <n v="15000000"/>
    <n v="15000000"/>
    <n v="0"/>
    <n v="0"/>
    <n v="0"/>
    <n v="14996000"/>
  </r>
  <r>
    <x v="2"/>
    <x v="2"/>
    <x v="11"/>
    <x v="2"/>
    <s v="Fijo"/>
    <s v="Nov"/>
    <n v="11"/>
    <n v="15000000"/>
    <n v="15000000"/>
    <n v="0"/>
    <n v="0"/>
    <n v="0"/>
    <n v="14777000"/>
  </r>
  <r>
    <x v="2"/>
    <x v="2"/>
    <x v="11"/>
    <x v="2"/>
    <s v="Fijo"/>
    <s v="Dic"/>
    <n v="12"/>
    <n v="15000000"/>
    <n v="15000000"/>
    <n v="0"/>
    <n v="0"/>
    <n v="0"/>
    <n v="15063000"/>
  </r>
  <r>
    <x v="0"/>
    <x v="3"/>
    <x v="12"/>
    <x v="2"/>
    <s v="Nómina"/>
    <s v="Ene"/>
    <n v="1"/>
    <n v="43300000"/>
    <n v="46331000"/>
    <n v="3031000"/>
    <n v="3031000"/>
    <n v="7.0000000000000007E-2"/>
    <n v="47396000"/>
  </r>
  <r>
    <x v="0"/>
    <x v="3"/>
    <x v="12"/>
    <x v="2"/>
    <s v="Nómina"/>
    <s v="Feb"/>
    <n v="2"/>
    <n v="43300000"/>
    <n v="46331000"/>
    <n v="3031000"/>
    <n v="3031000"/>
    <n v="7.0000000000000007E-2"/>
    <n v="46502000"/>
  </r>
  <r>
    <x v="0"/>
    <x v="3"/>
    <x v="12"/>
    <x v="2"/>
    <s v="Nómina"/>
    <s v="Mar"/>
    <n v="3"/>
    <n v="43300000"/>
    <n v="46331000"/>
    <n v="3031000"/>
    <n v="3031000"/>
    <n v="7.0000000000000007E-2"/>
    <n v="46270000"/>
  </r>
  <r>
    <x v="0"/>
    <x v="3"/>
    <x v="12"/>
    <x v="2"/>
    <s v="Nómina"/>
    <s v="Abr"/>
    <n v="4"/>
    <n v="43300000"/>
    <n v="46331000"/>
    <n v="3031000"/>
    <n v="3031000"/>
    <n v="7.0000000000000007E-2"/>
    <n v="47321000"/>
  </r>
  <r>
    <x v="0"/>
    <x v="3"/>
    <x v="12"/>
    <x v="2"/>
    <s v="Nómina"/>
    <s v="May"/>
    <n v="5"/>
    <n v="43300000"/>
    <n v="46331000"/>
    <n v="3031000"/>
    <n v="3031000"/>
    <n v="7.0000000000000007E-2"/>
    <n v="45991000"/>
  </r>
  <r>
    <x v="0"/>
    <x v="3"/>
    <x v="12"/>
    <x v="2"/>
    <s v="Nómina"/>
    <s v="Jun"/>
    <n v="6"/>
    <n v="43300000"/>
    <n v="46331000"/>
    <n v="3031000"/>
    <n v="3031000"/>
    <n v="7.0000000000000007E-2"/>
    <n v="46121000"/>
  </r>
  <r>
    <x v="0"/>
    <x v="3"/>
    <x v="12"/>
    <x v="2"/>
    <s v="Nómina"/>
    <s v="Jul"/>
    <n v="7"/>
    <n v="43300000"/>
    <n v="46331000"/>
    <n v="3031000"/>
    <n v="3031000"/>
    <n v="7.0000000000000007E-2"/>
    <n v="45673000"/>
  </r>
  <r>
    <x v="0"/>
    <x v="3"/>
    <x v="12"/>
    <x v="2"/>
    <s v="Nómina"/>
    <s v="Ago"/>
    <n v="8"/>
    <n v="43300000"/>
    <n v="46331000"/>
    <n v="3031000"/>
    <n v="3031000"/>
    <n v="7.0000000000000007E-2"/>
    <n v="47112000"/>
  </r>
  <r>
    <x v="0"/>
    <x v="3"/>
    <x v="12"/>
    <x v="2"/>
    <s v="Nómina"/>
    <s v="Sep"/>
    <n v="9"/>
    <n v="43300000"/>
    <n v="46331000"/>
    <n v="3031000"/>
    <n v="3031000"/>
    <n v="7.0000000000000007E-2"/>
    <n v="46477000"/>
  </r>
  <r>
    <x v="0"/>
    <x v="3"/>
    <x v="12"/>
    <x v="2"/>
    <s v="Nómina"/>
    <s v="Oct"/>
    <n v="10"/>
    <n v="43300000"/>
    <n v="46331000"/>
    <n v="3031000"/>
    <n v="3031000"/>
    <n v="7.0000000000000007E-2"/>
    <n v="47539000"/>
  </r>
  <r>
    <x v="0"/>
    <x v="3"/>
    <x v="12"/>
    <x v="2"/>
    <s v="Nómina"/>
    <s v="Nov"/>
    <n v="11"/>
    <n v="43300000"/>
    <n v="46331000"/>
    <n v="3031000"/>
    <n v="3031000"/>
    <n v="7.0000000000000007E-2"/>
    <n v="46051000"/>
  </r>
  <r>
    <x v="0"/>
    <x v="3"/>
    <x v="12"/>
    <x v="2"/>
    <s v="Nómina"/>
    <s v="Dic"/>
    <n v="12"/>
    <n v="43700000"/>
    <n v="46759000"/>
    <n v="3059000"/>
    <n v="3059000"/>
    <n v="7.0000000000000007E-2"/>
    <n v="47445000"/>
  </r>
  <r>
    <x v="0"/>
    <x v="3"/>
    <x v="13"/>
    <x v="2"/>
    <s v="Ventas"/>
    <s v="Ene"/>
    <n v="1"/>
    <n v="24000000"/>
    <n v="26712000"/>
    <n v="2712000"/>
    <n v="2712000"/>
    <n v="0.113"/>
    <n v="28100000"/>
  </r>
  <r>
    <x v="0"/>
    <x v="3"/>
    <x v="13"/>
    <x v="2"/>
    <s v="Ventas"/>
    <s v="Feb"/>
    <n v="2"/>
    <n v="25500000"/>
    <n v="28381500"/>
    <n v="2881500"/>
    <n v="2881500"/>
    <n v="0.113"/>
    <n v="29683000"/>
  </r>
  <r>
    <x v="0"/>
    <x v="3"/>
    <x v="13"/>
    <x v="2"/>
    <s v="Ventas"/>
    <s v="Mar"/>
    <n v="3"/>
    <n v="28500000"/>
    <n v="31720500"/>
    <n v="3220500"/>
    <n v="3220500"/>
    <n v="0.113"/>
    <n v="35003000"/>
  </r>
  <r>
    <x v="0"/>
    <x v="3"/>
    <x v="13"/>
    <x v="2"/>
    <s v="Ventas"/>
    <s v="Abr"/>
    <n v="4"/>
    <n v="28500000"/>
    <n v="31720500"/>
    <n v="3220500"/>
    <n v="3220500"/>
    <n v="0.113"/>
    <n v="33378000"/>
  </r>
  <r>
    <x v="0"/>
    <x v="3"/>
    <x v="13"/>
    <x v="2"/>
    <s v="Ventas"/>
    <s v="May"/>
    <n v="5"/>
    <n v="30000000"/>
    <n v="33390000"/>
    <n v="3390000"/>
    <n v="3390000"/>
    <n v="0.113"/>
    <n v="35263000"/>
  </r>
  <r>
    <x v="0"/>
    <x v="3"/>
    <x v="13"/>
    <x v="2"/>
    <s v="Ventas"/>
    <s v="Jun"/>
    <n v="6"/>
    <n v="30000000"/>
    <n v="33390000"/>
    <n v="3390000"/>
    <n v="3390000"/>
    <n v="0.113"/>
    <n v="34880000"/>
  </r>
  <r>
    <x v="0"/>
    <x v="3"/>
    <x v="13"/>
    <x v="2"/>
    <s v="Ventas"/>
    <s v="Jul"/>
    <n v="7"/>
    <n v="30000000"/>
    <n v="33390000"/>
    <n v="3390000"/>
    <n v="3390000"/>
    <n v="0.113"/>
    <n v="35746000"/>
  </r>
  <r>
    <x v="0"/>
    <x v="3"/>
    <x v="13"/>
    <x v="2"/>
    <s v="Ventas"/>
    <s v="Ago"/>
    <n v="8"/>
    <n v="31500000"/>
    <n v="35059500"/>
    <n v="3559500"/>
    <n v="3559500"/>
    <n v="0.113"/>
    <n v="37036000"/>
  </r>
  <r>
    <x v="0"/>
    <x v="3"/>
    <x v="13"/>
    <x v="2"/>
    <s v="Ventas"/>
    <s v="Sep"/>
    <n v="9"/>
    <n v="30000000"/>
    <n v="33390000"/>
    <n v="3390000"/>
    <n v="3390000"/>
    <n v="0.113"/>
    <n v="34932000"/>
  </r>
  <r>
    <x v="0"/>
    <x v="3"/>
    <x v="13"/>
    <x v="2"/>
    <s v="Ventas"/>
    <s v="Oct"/>
    <n v="10"/>
    <n v="31500000"/>
    <n v="35059500"/>
    <n v="3559500"/>
    <n v="3559500"/>
    <n v="0.113"/>
    <n v="36921000"/>
  </r>
  <r>
    <x v="0"/>
    <x v="3"/>
    <x v="13"/>
    <x v="2"/>
    <s v="Ventas"/>
    <s v="Nov"/>
    <n v="11"/>
    <n v="34500000"/>
    <n v="38398500"/>
    <n v="3898500"/>
    <n v="3898500"/>
    <n v="0.113"/>
    <n v="40042000"/>
  </r>
  <r>
    <x v="0"/>
    <x v="3"/>
    <x v="13"/>
    <x v="2"/>
    <s v="Ventas"/>
    <s v="Dic"/>
    <n v="12"/>
    <n v="36000000"/>
    <n v="40068000"/>
    <n v="4068000"/>
    <n v="4068000"/>
    <n v="0.113"/>
    <n v="41480000"/>
  </r>
  <r>
    <x v="0"/>
    <x v="3"/>
    <x v="14"/>
    <x v="2"/>
    <s v="IPC"/>
    <s v="Ene"/>
    <n v="1"/>
    <n v="20000000"/>
    <n v="27039999.999999996"/>
    <n v="7039999.9999999963"/>
    <n v="7039999.9999999963"/>
    <n v="0.35199999999999981"/>
    <n v="29722000"/>
  </r>
  <r>
    <x v="0"/>
    <x v="3"/>
    <x v="14"/>
    <x v="2"/>
    <s v="IPC"/>
    <s v="Feb"/>
    <n v="2"/>
    <n v="20000000"/>
    <n v="27039999.999999996"/>
    <n v="7039999.9999999963"/>
    <n v="7039999.9999999963"/>
    <n v="0.35199999999999981"/>
    <n v="29291000"/>
  </r>
  <r>
    <x v="0"/>
    <x v="3"/>
    <x v="14"/>
    <x v="2"/>
    <s v="IPC"/>
    <s v="Mar"/>
    <n v="3"/>
    <n v="20000000"/>
    <n v="27039999.999999996"/>
    <n v="7039999.9999999963"/>
    <n v="7039999.9999999963"/>
    <n v="0.35199999999999981"/>
    <n v="29305000"/>
  </r>
  <r>
    <x v="0"/>
    <x v="3"/>
    <x v="14"/>
    <x v="2"/>
    <s v="IPC"/>
    <s v="Abr"/>
    <n v="4"/>
    <n v="20000000"/>
    <n v="27039999.999999996"/>
    <n v="7039999.9999999963"/>
    <n v="7039999.9999999963"/>
    <n v="0.35199999999999981"/>
    <n v="29112000"/>
  </r>
  <r>
    <x v="0"/>
    <x v="3"/>
    <x v="14"/>
    <x v="2"/>
    <s v="IPC"/>
    <s v="May"/>
    <n v="5"/>
    <n v="20000000"/>
    <n v="27039999.999999996"/>
    <n v="7039999.9999999963"/>
    <n v="7039999.9999999963"/>
    <n v="0.35199999999999981"/>
    <n v="29892000"/>
  </r>
  <r>
    <x v="0"/>
    <x v="3"/>
    <x v="14"/>
    <x v="2"/>
    <s v="IPC"/>
    <s v="Jun"/>
    <n v="6"/>
    <n v="20000000"/>
    <n v="27039999.999999996"/>
    <n v="7039999.9999999963"/>
    <n v="7039999.9999999963"/>
    <n v="0.35199999999999981"/>
    <n v="29566000"/>
  </r>
  <r>
    <x v="0"/>
    <x v="3"/>
    <x v="14"/>
    <x v="2"/>
    <s v="IPC"/>
    <s v="Jul"/>
    <n v="7"/>
    <n v="20000000"/>
    <n v="27039999.999999996"/>
    <n v="7039999.9999999963"/>
    <n v="7039999.9999999963"/>
    <n v="0.35199999999999981"/>
    <n v="29512000"/>
  </r>
  <r>
    <x v="0"/>
    <x v="3"/>
    <x v="14"/>
    <x v="2"/>
    <s v="IPC"/>
    <s v="Ago"/>
    <n v="8"/>
    <n v="20000000"/>
    <n v="27039999.999999996"/>
    <n v="7039999.9999999963"/>
    <n v="7039999.9999999963"/>
    <n v="0.35199999999999981"/>
    <n v="29596000"/>
  </r>
  <r>
    <x v="0"/>
    <x v="3"/>
    <x v="14"/>
    <x v="2"/>
    <s v="IPC"/>
    <s v="Sep"/>
    <n v="9"/>
    <n v="20000000"/>
    <n v="27039999.999999996"/>
    <n v="7039999.9999999963"/>
    <n v="7039999.9999999963"/>
    <n v="0.35199999999999981"/>
    <n v="29407000"/>
  </r>
  <r>
    <x v="0"/>
    <x v="3"/>
    <x v="14"/>
    <x v="2"/>
    <s v="IPC"/>
    <s v="Oct"/>
    <n v="10"/>
    <n v="20000000"/>
    <n v="27039999.999999996"/>
    <n v="7039999.9999999963"/>
    <n v="7039999.9999999963"/>
    <n v="0.35199999999999981"/>
    <n v="30161000"/>
  </r>
  <r>
    <x v="0"/>
    <x v="3"/>
    <x v="14"/>
    <x v="2"/>
    <s v="IPC"/>
    <s v="Nov"/>
    <n v="11"/>
    <n v="20000000"/>
    <n v="27039999.999999996"/>
    <n v="7039999.9999999963"/>
    <n v="7039999.9999999963"/>
    <n v="0.35199999999999981"/>
    <n v="29506000"/>
  </r>
  <r>
    <x v="0"/>
    <x v="3"/>
    <x v="14"/>
    <x v="2"/>
    <s v="IPC"/>
    <s v="Dic"/>
    <n v="12"/>
    <n v="20000000"/>
    <n v="27039999.999999996"/>
    <n v="7039999.9999999963"/>
    <n v="7039999.9999999963"/>
    <n v="0.35199999999999981"/>
    <n v="29543000"/>
  </r>
  <r>
    <x v="1"/>
    <x v="3"/>
    <x v="15"/>
    <x v="2"/>
    <s v="Volumen"/>
    <s v="Ene"/>
    <n v="1"/>
    <n v="20000000"/>
    <n v="21200000"/>
    <n v="1200000"/>
    <n v="1200000"/>
    <n v="0.06"/>
    <n v="21133000"/>
  </r>
  <r>
    <x v="1"/>
    <x v="3"/>
    <x v="15"/>
    <x v="2"/>
    <s v="Volumen"/>
    <s v="Feb"/>
    <n v="2"/>
    <n v="21200000"/>
    <n v="22472000"/>
    <n v="1272000"/>
    <n v="1272000"/>
    <n v="0.06"/>
    <n v="22730000"/>
  </r>
  <r>
    <x v="1"/>
    <x v="3"/>
    <x v="15"/>
    <x v="2"/>
    <s v="Volumen"/>
    <s v="Mar"/>
    <n v="3"/>
    <n v="23800000"/>
    <n v="25228000"/>
    <n v="1428000"/>
    <n v="1428000"/>
    <n v="0.06"/>
    <n v="25324000"/>
  </r>
  <r>
    <x v="1"/>
    <x v="3"/>
    <x v="15"/>
    <x v="2"/>
    <s v="Volumen"/>
    <s v="Abr"/>
    <n v="4"/>
    <n v="23800000"/>
    <n v="25228000"/>
    <n v="1428000"/>
    <n v="1428000"/>
    <n v="0.06"/>
    <n v="25080000"/>
  </r>
  <r>
    <x v="1"/>
    <x v="3"/>
    <x v="15"/>
    <x v="2"/>
    <s v="Volumen"/>
    <s v="May"/>
    <n v="5"/>
    <n v="25000000"/>
    <n v="26500000"/>
    <n v="1500000"/>
    <n v="1500000"/>
    <n v="0.06"/>
    <n v="26498000"/>
  </r>
  <r>
    <x v="1"/>
    <x v="3"/>
    <x v="15"/>
    <x v="2"/>
    <s v="Volumen"/>
    <s v="Jun"/>
    <n v="6"/>
    <n v="25000000"/>
    <n v="26500000"/>
    <n v="1500000"/>
    <n v="1500000"/>
    <n v="0.06"/>
    <n v="26669000"/>
  </r>
  <r>
    <x v="1"/>
    <x v="3"/>
    <x v="15"/>
    <x v="2"/>
    <s v="Volumen"/>
    <s v="Jul"/>
    <n v="7"/>
    <n v="25000000"/>
    <n v="26500000"/>
    <n v="1500000"/>
    <n v="1500000"/>
    <n v="0.06"/>
    <n v="25842000"/>
  </r>
  <r>
    <x v="1"/>
    <x v="3"/>
    <x v="15"/>
    <x v="2"/>
    <s v="Volumen"/>
    <s v="Ago"/>
    <n v="8"/>
    <n v="26200000"/>
    <n v="27772000"/>
    <n v="1572000"/>
    <n v="1572000"/>
    <n v="0.06"/>
    <n v="27921000"/>
  </r>
  <r>
    <x v="1"/>
    <x v="3"/>
    <x v="15"/>
    <x v="2"/>
    <s v="Volumen"/>
    <s v="Sep"/>
    <n v="9"/>
    <n v="25000000"/>
    <n v="26500000"/>
    <n v="1500000"/>
    <n v="1500000"/>
    <n v="0.06"/>
    <n v="26759000"/>
  </r>
  <r>
    <x v="1"/>
    <x v="3"/>
    <x v="15"/>
    <x v="2"/>
    <s v="Volumen"/>
    <s v="Oct"/>
    <n v="10"/>
    <n v="26200000"/>
    <n v="27772000"/>
    <n v="1572000"/>
    <n v="1572000"/>
    <n v="0.06"/>
    <n v="28096000"/>
  </r>
  <r>
    <x v="1"/>
    <x v="3"/>
    <x v="15"/>
    <x v="2"/>
    <s v="Volumen"/>
    <s v="Nov"/>
    <n v="11"/>
    <n v="28800000"/>
    <n v="30528000"/>
    <n v="1728000"/>
    <n v="1728000"/>
    <n v="0.06"/>
    <n v="30186000"/>
  </r>
  <r>
    <x v="1"/>
    <x v="3"/>
    <x v="15"/>
    <x v="2"/>
    <s v="Volumen"/>
    <s v="Dic"/>
    <n v="12"/>
    <n v="30000000"/>
    <n v="31800000"/>
    <n v="1800000"/>
    <n v="1800000"/>
    <n v="0.06"/>
    <n v="31595000"/>
  </r>
  <r>
    <x v="1"/>
    <x v="3"/>
    <x v="16"/>
    <x v="2"/>
    <s v="Nómina"/>
    <s v="Ene"/>
    <n v="1"/>
    <n v="31700000"/>
    <n v="33919000"/>
    <n v="2219000"/>
    <n v="2219000"/>
    <n v="7.0000000000000007E-2"/>
    <n v="34354000"/>
  </r>
  <r>
    <x v="1"/>
    <x v="3"/>
    <x v="16"/>
    <x v="2"/>
    <s v="Nómina"/>
    <s v="Feb"/>
    <n v="2"/>
    <n v="31700000"/>
    <n v="33919000"/>
    <n v="2219000"/>
    <n v="2219000"/>
    <n v="7.0000000000000007E-2"/>
    <n v="33469000"/>
  </r>
  <r>
    <x v="1"/>
    <x v="3"/>
    <x v="16"/>
    <x v="2"/>
    <s v="Nómina"/>
    <s v="Mar"/>
    <n v="3"/>
    <n v="31700000"/>
    <n v="33919000"/>
    <n v="2219000"/>
    <n v="2219000"/>
    <n v="7.0000000000000007E-2"/>
    <n v="34070000"/>
  </r>
  <r>
    <x v="1"/>
    <x v="3"/>
    <x v="16"/>
    <x v="2"/>
    <s v="Nómina"/>
    <s v="Abr"/>
    <n v="4"/>
    <n v="31700000"/>
    <n v="33919000"/>
    <n v="2219000"/>
    <n v="2219000"/>
    <n v="7.0000000000000007E-2"/>
    <n v="34069000"/>
  </r>
  <r>
    <x v="1"/>
    <x v="3"/>
    <x v="16"/>
    <x v="2"/>
    <s v="Nómina"/>
    <s v="May"/>
    <n v="5"/>
    <n v="31700000"/>
    <n v="33919000"/>
    <n v="2219000"/>
    <n v="2219000"/>
    <n v="7.0000000000000007E-2"/>
    <n v="34295000"/>
  </r>
  <r>
    <x v="1"/>
    <x v="3"/>
    <x v="16"/>
    <x v="2"/>
    <s v="Nómina"/>
    <s v="Jun"/>
    <n v="6"/>
    <n v="31700000"/>
    <n v="33919000"/>
    <n v="2219000"/>
    <n v="2219000"/>
    <n v="7.0000000000000007E-2"/>
    <n v="33829000"/>
  </r>
  <r>
    <x v="1"/>
    <x v="3"/>
    <x v="16"/>
    <x v="2"/>
    <s v="Nómina"/>
    <s v="Jul"/>
    <n v="7"/>
    <n v="31700000"/>
    <n v="33919000"/>
    <n v="2219000"/>
    <n v="2219000"/>
    <n v="7.0000000000000007E-2"/>
    <n v="34227000"/>
  </r>
  <r>
    <x v="1"/>
    <x v="3"/>
    <x v="16"/>
    <x v="2"/>
    <s v="Nómina"/>
    <s v="Ago"/>
    <n v="8"/>
    <n v="31700000"/>
    <n v="33919000"/>
    <n v="2219000"/>
    <n v="2219000"/>
    <n v="7.0000000000000007E-2"/>
    <n v="34060000"/>
  </r>
  <r>
    <x v="1"/>
    <x v="3"/>
    <x v="16"/>
    <x v="2"/>
    <s v="Nómina"/>
    <s v="Sep"/>
    <n v="9"/>
    <n v="31700000"/>
    <n v="33919000"/>
    <n v="2219000"/>
    <n v="2219000"/>
    <n v="7.0000000000000007E-2"/>
    <n v="33425000"/>
  </r>
  <r>
    <x v="1"/>
    <x v="3"/>
    <x v="16"/>
    <x v="2"/>
    <s v="Nómina"/>
    <s v="Oct"/>
    <n v="10"/>
    <n v="31700000"/>
    <n v="33919000"/>
    <n v="2219000"/>
    <n v="2219000"/>
    <n v="7.0000000000000007E-2"/>
    <n v="34349000"/>
  </r>
  <r>
    <x v="1"/>
    <x v="3"/>
    <x v="16"/>
    <x v="2"/>
    <s v="Nómina"/>
    <s v="Nov"/>
    <n v="11"/>
    <n v="31700000"/>
    <n v="33919000"/>
    <n v="2219000"/>
    <n v="2219000"/>
    <n v="7.0000000000000007E-2"/>
    <n v="33754000"/>
  </r>
  <r>
    <x v="1"/>
    <x v="3"/>
    <x v="16"/>
    <x v="2"/>
    <s v="Nómina"/>
    <s v="Dic"/>
    <n v="12"/>
    <n v="31300000"/>
    <n v="33491000.000000004"/>
    <n v="2191000.0000000037"/>
    <n v="2191000.0000000037"/>
    <n v="7.0000000000000118E-2"/>
    <n v="33261000"/>
  </r>
  <r>
    <x v="1"/>
    <x v="3"/>
    <x v="17"/>
    <x v="2"/>
    <s v="IPC"/>
    <s v="Ene"/>
    <n v="1"/>
    <n v="20000000"/>
    <n v="20800000"/>
    <n v="800000"/>
    <n v="800000"/>
    <n v="0.04"/>
    <n v="20459000"/>
  </r>
  <r>
    <x v="1"/>
    <x v="3"/>
    <x v="17"/>
    <x v="2"/>
    <s v="IPC"/>
    <s v="Feb"/>
    <n v="2"/>
    <n v="20000000"/>
    <n v="20800000"/>
    <n v="800000"/>
    <n v="800000"/>
    <n v="0.04"/>
    <n v="20497000"/>
  </r>
  <r>
    <x v="1"/>
    <x v="3"/>
    <x v="17"/>
    <x v="2"/>
    <s v="IPC"/>
    <s v="Mar"/>
    <n v="3"/>
    <n v="20000000"/>
    <n v="20800000"/>
    <n v="800000"/>
    <n v="800000"/>
    <n v="0.04"/>
    <n v="21405000"/>
  </r>
  <r>
    <x v="1"/>
    <x v="3"/>
    <x v="17"/>
    <x v="2"/>
    <s v="IPC"/>
    <s v="Abr"/>
    <n v="4"/>
    <n v="20000000"/>
    <n v="20800000"/>
    <n v="800000"/>
    <n v="800000"/>
    <n v="0.04"/>
    <n v="20692000"/>
  </r>
  <r>
    <x v="1"/>
    <x v="3"/>
    <x v="17"/>
    <x v="2"/>
    <s v="IPC"/>
    <s v="May"/>
    <n v="5"/>
    <n v="20000000"/>
    <n v="20800000"/>
    <n v="800000"/>
    <n v="800000"/>
    <n v="0.04"/>
    <n v="20346000"/>
  </r>
  <r>
    <x v="1"/>
    <x v="3"/>
    <x v="17"/>
    <x v="2"/>
    <s v="IPC"/>
    <s v="Jun"/>
    <n v="6"/>
    <n v="20000000"/>
    <n v="20800000"/>
    <n v="800000"/>
    <n v="800000"/>
    <n v="0.04"/>
    <n v="21225000"/>
  </r>
  <r>
    <x v="1"/>
    <x v="3"/>
    <x v="17"/>
    <x v="2"/>
    <s v="IPC"/>
    <s v="Jul"/>
    <n v="7"/>
    <n v="20000000"/>
    <n v="20800000"/>
    <n v="800000"/>
    <n v="800000"/>
    <n v="0.04"/>
    <n v="20739000"/>
  </r>
  <r>
    <x v="1"/>
    <x v="3"/>
    <x v="17"/>
    <x v="2"/>
    <s v="IPC"/>
    <s v="Ago"/>
    <n v="8"/>
    <n v="20000000"/>
    <n v="20800000"/>
    <n v="800000"/>
    <n v="800000"/>
    <n v="0.04"/>
    <n v="20612000"/>
  </r>
  <r>
    <x v="1"/>
    <x v="3"/>
    <x v="17"/>
    <x v="2"/>
    <s v="IPC"/>
    <s v="Sep"/>
    <n v="9"/>
    <n v="20000000"/>
    <n v="20800000"/>
    <n v="800000"/>
    <n v="800000"/>
    <n v="0.04"/>
    <n v="20155000"/>
  </r>
  <r>
    <x v="1"/>
    <x v="3"/>
    <x v="17"/>
    <x v="2"/>
    <s v="IPC"/>
    <s v="Oct"/>
    <n v="10"/>
    <n v="20000000"/>
    <n v="20800000"/>
    <n v="800000"/>
    <n v="800000"/>
    <n v="0.04"/>
    <n v="20484000"/>
  </r>
  <r>
    <x v="1"/>
    <x v="3"/>
    <x v="17"/>
    <x v="2"/>
    <s v="IPC"/>
    <s v="Nov"/>
    <n v="11"/>
    <n v="20000000"/>
    <n v="20800000"/>
    <n v="800000"/>
    <n v="800000"/>
    <n v="0.04"/>
    <n v="20592000"/>
  </r>
  <r>
    <x v="1"/>
    <x v="3"/>
    <x v="17"/>
    <x v="2"/>
    <s v="IPC"/>
    <s v="Dic"/>
    <n v="12"/>
    <n v="20000000"/>
    <n v="20800000"/>
    <n v="800000"/>
    <n v="800000"/>
    <n v="0.04"/>
    <n v="20796000"/>
  </r>
  <r>
    <x v="1"/>
    <x v="3"/>
    <x v="18"/>
    <x v="2"/>
    <s v="IPC"/>
    <s v="Ene"/>
    <n v="1"/>
    <n v="7500000"/>
    <n v="7800000"/>
    <n v="300000"/>
    <n v="300000"/>
    <n v="0.04"/>
    <n v="7805000"/>
  </r>
  <r>
    <x v="1"/>
    <x v="3"/>
    <x v="18"/>
    <x v="2"/>
    <s v="IPC"/>
    <s v="Feb"/>
    <n v="2"/>
    <n v="7500000"/>
    <n v="7800000"/>
    <n v="300000"/>
    <n v="300000"/>
    <n v="0.04"/>
    <n v="7748000"/>
  </r>
  <r>
    <x v="1"/>
    <x v="3"/>
    <x v="18"/>
    <x v="2"/>
    <s v="IPC"/>
    <s v="Mar"/>
    <n v="3"/>
    <n v="7500000"/>
    <n v="7800000"/>
    <n v="300000"/>
    <n v="300000"/>
    <n v="0.04"/>
    <n v="7622000"/>
  </r>
  <r>
    <x v="1"/>
    <x v="3"/>
    <x v="18"/>
    <x v="2"/>
    <s v="IPC"/>
    <s v="Abr"/>
    <n v="4"/>
    <n v="7500000"/>
    <n v="7800000"/>
    <n v="300000"/>
    <n v="300000"/>
    <n v="0.04"/>
    <n v="7839000"/>
  </r>
  <r>
    <x v="1"/>
    <x v="3"/>
    <x v="18"/>
    <x v="2"/>
    <s v="IPC"/>
    <s v="May"/>
    <n v="5"/>
    <n v="7500000"/>
    <n v="7800000"/>
    <n v="300000"/>
    <n v="300000"/>
    <n v="0.04"/>
    <n v="7869000"/>
  </r>
  <r>
    <x v="1"/>
    <x v="3"/>
    <x v="18"/>
    <x v="2"/>
    <s v="IPC"/>
    <s v="Jun"/>
    <n v="6"/>
    <n v="7500000"/>
    <n v="7800000"/>
    <n v="300000"/>
    <n v="300000"/>
    <n v="0.04"/>
    <n v="7834000"/>
  </r>
  <r>
    <x v="1"/>
    <x v="3"/>
    <x v="18"/>
    <x v="2"/>
    <s v="IPC"/>
    <s v="Jul"/>
    <n v="7"/>
    <n v="7500000"/>
    <n v="7800000"/>
    <n v="300000"/>
    <n v="300000"/>
    <n v="0.04"/>
    <n v="7861000"/>
  </r>
  <r>
    <x v="1"/>
    <x v="3"/>
    <x v="18"/>
    <x v="2"/>
    <s v="IPC"/>
    <s v="Ago"/>
    <n v="8"/>
    <n v="7500000"/>
    <n v="7800000"/>
    <n v="300000"/>
    <n v="300000"/>
    <n v="0.04"/>
    <n v="7939000"/>
  </r>
  <r>
    <x v="1"/>
    <x v="3"/>
    <x v="18"/>
    <x v="2"/>
    <s v="IPC"/>
    <s v="Sep"/>
    <n v="9"/>
    <n v="7500000"/>
    <n v="7800000"/>
    <n v="300000"/>
    <n v="300000"/>
    <n v="0.04"/>
    <n v="7829000"/>
  </r>
  <r>
    <x v="1"/>
    <x v="3"/>
    <x v="18"/>
    <x v="2"/>
    <s v="IPC"/>
    <s v="Oct"/>
    <n v="10"/>
    <n v="7500000"/>
    <n v="7800000"/>
    <n v="300000"/>
    <n v="300000"/>
    <n v="0.04"/>
    <n v="7661000"/>
  </r>
  <r>
    <x v="1"/>
    <x v="3"/>
    <x v="18"/>
    <x v="2"/>
    <s v="IPC"/>
    <s v="Nov"/>
    <n v="11"/>
    <n v="7500000"/>
    <n v="7800000"/>
    <n v="300000"/>
    <n v="300000"/>
    <n v="0.04"/>
    <n v="7684000"/>
  </r>
  <r>
    <x v="1"/>
    <x v="3"/>
    <x v="18"/>
    <x v="2"/>
    <s v="IPC"/>
    <s v="Dic"/>
    <n v="12"/>
    <n v="7500000"/>
    <n v="7800000"/>
    <n v="300000"/>
    <n v="300000"/>
    <n v="0.04"/>
    <n v="7803000"/>
  </r>
  <r>
    <x v="3"/>
    <x v="4"/>
    <x v="19"/>
    <x v="2"/>
    <s v="Financiero"/>
    <s v="Ene"/>
    <n v="1"/>
    <n v="21700000"/>
    <n v="19530000"/>
    <n v="-2170000"/>
    <n v="2170000"/>
    <n v="-0.1"/>
    <n v="18320000"/>
  </r>
  <r>
    <x v="3"/>
    <x v="4"/>
    <x v="19"/>
    <x v="2"/>
    <s v="Financiero"/>
    <s v="Feb"/>
    <n v="2"/>
    <n v="21700000"/>
    <n v="19530000"/>
    <n v="-2170000"/>
    <n v="2170000"/>
    <n v="-0.1"/>
    <n v="18574000"/>
  </r>
  <r>
    <x v="3"/>
    <x v="4"/>
    <x v="19"/>
    <x v="2"/>
    <s v="Financiero"/>
    <s v="Mar"/>
    <n v="3"/>
    <n v="21700000"/>
    <n v="19530000"/>
    <n v="-2170000"/>
    <n v="2170000"/>
    <n v="-0.1"/>
    <n v="18303000"/>
  </r>
  <r>
    <x v="3"/>
    <x v="4"/>
    <x v="19"/>
    <x v="2"/>
    <s v="Financiero"/>
    <s v="Abr"/>
    <n v="4"/>
    <n v="21700000"/>
    <n v="19530000"/>
    <n v="-2170000"/>
    <n v="2170000"/>
    <n v="-0.1"/>
    <n v="18854000"/>
  </r>
  <r>
    <x v="3"/>
    <x v="4"/>
    <x v="19"/>
    <x v="2"/>
    <s v="Financiero"/>
    <s v="May"/>
    <n v="5"/>
    <n v="21700000"/>
    <n v="19530000"/>
    <n v="-2170000"/>
    <n v="2170000"/>
    <n v="-0.1"/>
    <n v="18517000"/>
  </r>
  <r>
    <x v="3"/>
    <x v="4"/>
    <x v="19"/>
    <x v="2"/>
    <s v="Financiero"/>
    <s v="Jun"/>
    <n v="6"/>
    <n v="21700000"/>
    <n v="19530000"/>
    <n v="-2170000"/>
    <n v="2170000"/>
    <n v="-0.1"/>
    <n v="18480000"/>
  </r>
  <r>
    <x v="3"/>
    <x v="4"/>
    <x v="19"/>
    <x v="2"/>
    <s v="Financiero"/>
    <s v="Jul"/>
    <n v="7"/>
    <n v="21700000"/>
    <n v="19530000"/>
    <n v="-2170000"/>
    <n v="2170000"/>
    <n v="-0.1"/>
    <n v="18821000"/>
  </r>
  <r>
    <x v="3"/>
    <x v="4"/>
    <x v="19"/>
    <x v="2"/>
    <s v="Financiero"/>
    <s v="Ago"/>
    <n v="8"/>
    <n v="21700000"/>
    <n v="19530000"/>
    <n v="-2170000"/>
    <n v="2170000"/>
    <n v="-0.1"/>
    <n v="18386000"/>
  </r>
  <r>
    <x v="3"/>
    <x v="4"/>
    <x v="19"/>
    <x v="2"/>
    <s v="Financiero"/>
    <s v="Sep"/>
    <n v="9"/>
    <n v="21700000"/>
    <n v="19530000"/>
    <n v="-2170000"/>
    <n v="2170000"/>
    <n v="-0.1"/>
    <n v="18149000"/>
  </r>
  <r>
    <x v="3"/>
    <x v="4"/>
    <x v="19"/>
    <x v="2"/>
    <s v="Financiero"/>
    <s v="Oct"/>
    <n v="10"/>
    <n v="21700000"/>
    <n v="19530000"/>
    <n v="-2170000"/>
    <n v="2170000"/>
    <n v="-0.1"/>
    <n v="18698000"/>
  </r>
  <r>
    <x v="3"/>
    <x v="4"/>
    <x v="19"/>
    <x v="2"/>
    <s v="Financiero"/>
    <s v="Nov"/>
    <n v="11"/>
    <n v="21700000"/>
    <n v="19530000"/>
    <n v="-2170000"/>
    <n v="2170000"/>
    <n v="-0.1"/>
    <n v="18703000"/>
  </r>
  <r>
    <x v="3"/>
    <x v="4"/>
    <x v="19"/>
    <x v="2"/>
    <s v="Financiero"/>
    <s v="Dic"/>
    <n v="12"/>
    <n v="21300000"/>
    <n v="19170000"/>
    <n v="-2130000"/>
    <n v="2130000"/>
    <n v="-0.1"/>
    <n v="18676000"/>
  </r>
  <r>
    <x v="3"/>
    <x v="4"/>
    <x v="20"/>
    <x v="2"/>
    <s v="IPC"/>
    <s v="Ene"/>
    <n v="1"/>
    <n v="4000000"/>
    <n v="4160000"/>
    <n v="160000"/>
    <n v="160000"/>
    <n v="0.04"/>
    <n v="4168000"/>
  </r>
  <r>
    <x v="3"/>
    <x v="4"/>
    <x v="20"/>
    <x v="2"/>
    <s v="IPC"/>
    <s v="Feb"/>
    <n v="2"/>
    <n v="4000000"/>
    <n v="4160000"/>
    <n v="160000"/>
    <n v="160000"/>
    <n v="0.04"/>
    <n v="4158000"/>
  </r>
  <r>
    <x v="3"/>
    <x v="4"/>
    <x v="20"/>
    <x v="2"/>
    <s v="IPC"/>
    <s v="Mar"/>
    <n v="3"/>
    <n v="4000000"/>
    <n v="4160000"/>
    <n v="160000"/>
    <n v="160000"/>
    <n v="0.04"/>
    <n v="4296000"/>
  </r>
  <r>
    <x v="3"/>
    <x v="4"/>
    <x v="20"/>
    <x v="2"/>
    <s v="IPC"/>
    <s v="Abr"/>
    <n v="4"/>
    <n v="4000000"/>
    <n v="4160000"/>
    <n v="160000"/>
    <n v="160000"/>
    <n v="0.04"/>
    <n v="4230000"/>
  </r>
  <r>
    <x v="3"/>
    <x v="4"/>
    <x v="20"/>
    <x v="2"/>
    <s v="IPC"/>
    <s v="May"/>
    <n v="5"/>
    <n v="4000000"/>
    <n v="4160000"/>
    <n v="160000"/>
    <n v="160000"/>
    <n v="0.04"/>
    <n v="4131000"/>
  </r>
  <r>
    <x v="3"/>
    <x v="4"/>
    <x v="20"/>
    <x v="2"/>
    <s v="IPC"/>
    <s v="Jun"/>
    <n v="6"/>
    <n v="4000000"/>
    <n v="4160000"/>
    <n v="160000"/>
    <n v="160000"/>
    <n v="0.04"/>
    <n v="4244000"/>
  </r>
  <r>
    <x v="3"/>
    <x v="4"/>
    <x v="20"/>
    <x v="2"/>
    <s v="IPC"/>
    <s v="Jul"/>
    <n v="7"/>
    <n v="4000000"/>
    <n v="4160000"/>
    <n v="160000"/>
    <n v="160000"/>
    <n v="0.04"/>
    <n v="4178000"/>
  </r>
  <r>
    <x v="3"/>
    <x v="4"/>
    <x v="20"/>
    <x v="2"/>
    <s v="IPC"/>
    <s v="Ago"/>
    <n v="8"/>
    <n v="4000000"/>
    <n v="4160000"/>
    <n v="160000"/>
    <n v="160000"/>
    <n v="0.04"/>
    <n v="4099000"/>
  </r>
  <r>
    <x v="3"/>
    <x v="4"/>
    <x v="20"/>
    <x v="2"/>
    <s v="IPC"/>
    <s v="Sep"/>
    <n v="9"/>
    <n v="4000000"/>
    <n v="4160000"/>
    <n v="160000"/>
    <n v="160000"/>
    <n v="0.04"/>
    <n v="4202000"/>
  </r>
  <r>
    <x v="3"/>
    <x v="4"/>
    <x v="20"/>
    <x v="2"/>
    <s v="IPC"/>
    <s v="Oct"/>
    <n v="10"/>
    <n v="4000000"/>
    <n v="4160000"/>
    <n v="160000"/>
    <n v="160000"/>
    <n v="0.04"/>
    <n v="4033000"/>
  </r>
  <r>
    <x v="3"/>
    <x v="4"/>
    <x v="20"/>
    <x v="2"/>
    <s v="IPC"/>
    <s v="Nov"/>
    <n v="11"/>
    <n v="4000000"/>
    <n v="4160000"/>
    <n v="160000"/>
    <n v="160000"/>
    <n v="0.04"/>
    <n v="4137000"/>
  </r>
  <r>
    <x v="3"/>
    <x v="4"/>
    <x v="20"/>
    <x v="2"/>
    <s v="IPC"/>
    <s v="Dic"/>
    <n v="12"/>
    <n v="4000000"/>
    <n v="4160000"/>
    <n v="160000"/>
    <n v="160000"/>
    <n v="0.04"/>
    <n v="4217000"/>
  </r>
  <r>
    <x v="3"/>
    <x v="5"/>
    <x v="21"/>
    <x v="0"/>
    <s v="IPC"/>
    <s v="Ene"/>
    <n v="1"/>
    <n v="5000000"/>
    <n v="5200000"/>
    <n v="200000"/>
    <n v="200000"/>
    <n v="0.04"/>
    <n v="5134000"/>
  </r>
  <r>
    <x v="3"/>
    <x v="5"/>
    <x v="21"/>
    <x v="0"/>
    <s v="IPC"/>
    <s v="Feb"/>
    <n v="2"/>
    <n v="5000000"/>
    <n v="5200000"/>
    <n v="200000"/>
    <n v="200000"/>
    <n v="0.04"/>
    <n v="5273000"/>
  </r>
  <r>
    <x v="3"/>
    <x v="5"/>
    <x v="21"/>
    <x v="0"/>
    <s v="IPC"/>
    <s v="Mar"/>
    <n v="3"/>
    <n v="5000000"/>
    <n v="5200000"/>
    <n v="200000"/>
    <n v="200000"/>
    <n v="0.04"/>
    <n v="5129000"/>
  </r>
  <r>
    <x v="3"/>
    <x v="5"/>
    <x v="21"/>
    <x v="0"/>
    <s v="IPC"/>
    <s v="Abr"/>
    <n v="4"/>
    <n v="5000000"/>
    <n v="5200000"/>
    <n v="200000"/>
    <n v="200000"/>
    <n v="0.04"/>
    <n v="5232000"/>
  </r>
  <r>
    <x v="3"/>
    <x v="5"/>
    <x v="21"/>
    <x v="0"/>
    <s v="IPC"/>
    <s v="May"/>
    <n v="5"/>
    <n v="5000000"/>
    <n v="5200000"/>
    <n v="200000"/>
    <n v="200000"/>
    <n v="0.04"/>
    <n v="5335000"/>
  </r>
  <r>
    <x v="3"/>
    <x v="5"/>
    <x v="21"/>
    <x v="0"/>
    <s v="IPC"/>
    <s v="Jun"/>
    <n v="6"/>
    <n v="5000000"/>
    <n v="5200000"/>
    <n v="200000"/>
    <n v="200000"/>
    <n v="0.04"/>
    <n v="5132000"/>
  </r>
  <r>
    <x v="3"/>
    <x v="5"/>
    <x v="21"/>
    <x v="0"/>
    <s v="IPC"/>
    <s v="Jul"/>
    <n v="7"/>
    <n v="5000000"/>
    <n v="5200000"/>
    <n v="200000"/>
    <n v="200000"/>
    <n v="0.04"/>
    <n v="5194000"/>
  </r>
  <r>
    <x v="3"/>
    <x v="5"/>
    <x v="21"/>
    <x v="0"/>
    <s v="IPC"/>
    <s v="Ago"/>
    <n v="8"/>
    <n v="5000000"/>
    <n v="5200000"/>
    <n v="200000"/>
    <n v="200000"/>
    <n v="0.04"/>
    <n v="5177000"/>
  </r>
  <r>
    <x v="3"/>
    <x v="5"/>
    <x v="21"/>
    <x v="0"/>
    <s v="IPC"/>
    <s v="Sep"/>
    <n v="9"/>
    <n v="5000000"/>
    <n v="5200000"/>
    <n v="200000"/>
    <n v="200000"/>
    <n v="0.04"/>
    <n v="5262000"/>
  </r>
  <r>
    <x v="3"/>
    <x v="5"/>
    <x v="21"/>
    <x v="0"/>
    <s v="IPC"/>
    <s v="Oct"/>
    <n v="10"/>
    <n v="5000000"/>
    <n v="5200000"/>
    <n v="200000"/>
    <n v="200000"/>
    <n v="0.04"/>
    <n v="5267000"/>
  </r>
  <r>
    <x v="3"/>
    <x v="5"/>
    <x v="21"/>
    <x v="0"/>
    <s v="IPC"/>
    <s v="Nov"/>
    <n v="11"/>
    <n v="5000000"/>
    <n v="5200000"/>
    <n v="200000"/>
    <n v="200000"/>
    <n v="0.04"/>
    <n v="5182000"/>
  </r>
  <r>
    <x v="3"/>
    <x v="5"/>
    <x v="21"/>
    <x v="0"/>
    <s v="IPC"/>
    <s v="Dic"/>
    <n v="12"/>
    <n v="5000000"/>
    <n v="5200000"/>
    <n v="200000"/>
    <n v="200000"/>
    <n v="0.04"/>
    <n v="5171000"/>
  </r>
  <r>
    <x v="3"/>
    <x v="6"/>
    <x v="22"/>
    <x v="2"/>
    <s v="Fijo"/>
    <s v="Ene"/>
    <n v="1"/>
    <n v="3300000"/>
    <n v="3300000"/>
    <n v="0"/>
    <n v="0"/>
    <n v="0"/>
    <n v="3254000"/>
  </r>
  <r>
    <x v="3"/>
    <x v="6"/>
    <x v="22"/>
    <x v="2"/>
    <s v="Fijo"/>
    <s v="Feb"/>
    <n v="2"/>
    <n v="3300000"/>
    <n v="3300000"/>
    <n v="0"/>
    <n v="0"/>
    <n v="0"/>
    <n v="3350000"/>
  </r>
  <r>
    <x v="3"/>
    <x v="6"/>
    <x v="22"/>
    <x v="2"/>
    <s v="Fijo"/>
    <s v="Mar"/>
    <n v="3"/>
    <n v="3300000"/>
    <n v="3300000"/>
    <n v="0"/>
    <n v="0"/>
    <n v="0"/>
    <n v="3371000"/>
  </r>
  <r>
    <x v="3"/>
    <x v="6"/>
    <x v="22"/>
    <x v="2"/>
    <s v="Fijo"/>
    <s v="Abr"/>
    <n v="4"/>
    <n v="3300000"/>
    <n v="3300000"/>
    <n v="0"/>
    <n v="0"/>
    <n v="0"/>
    <n v="3246000"/>
  </r>
  <r>
    <x v="3"/>
    <x v="6"/>
    <x v="22"/>
    <x v="2"/>
    <s v="Fijo"/>
    <s v="May"/>
    <n v="5"/>
    <n v="3300000"/>
    <n v="3300000"/>
    <n v="0"/>
    <n v="0"/>
    <n v="0"/>
    <n v="3247000"/>
  </r>
  <r>
    <x v="3"/>
    <x v="6"/>
    <x v="22"/>
    <x v="2"/>
    <s v="Fijo"/>
    <s v="Jun"/>
    <n v="6"/>
    <n v="3300000"/>
    <n v="3300000"/>
    <n v="0"/>
    <n v="0"/>
    <n v="0"/>
    <n v="3300000"/>
  </r>
  <r>
    <x v="3"/>
    <x v="6"/>
    <x v="22"/>
    <x v="2"/>
    <s v="Fijo"/>
    <s v="Jul"/>
    <n v="7"/>
    <n v="3300000"/>
    <n v="3300000"/>
    <n v="0"/>
    <n v="0"/>
    <n v="0"/>
    <n v="3308000"/>
  </r>
  <r>
    <x v="3"/>
    <x v="6"/>
    <x v="22"/>
    <x v="2"/>
    <s v="Fijo"/>
    <s v="Ago"/>
    <n v="8"/>
    <n v="3300000"/>
    <n v="3300000"/>
    <n v="0"/>
    <n v="0"/>
    <n v="0"/>
    <n v="3279000"/>
  </r>
  <r>
    <x v="3"/>
    <x v="6"/>
    <x v="22"/>
    <x v="2"/>
    <s v="Fijo"/>
    <s v="Sep"/>
    <n v="9"/>
    <n v="3300000"/>
    <n v="3300000"/>
    <n v="0"/>
    <n v="0"/>
    <n v="0"/>
    <n v="3352000"/>
  </r>
  <r>
    <x v="3"/>
    <x v="6"/>
    <x v="22"/>
    <x v="2"/>
    <s v="Fijo"/>
    <s v="Oct"/>
    <n v="10"/>
    <n v="3300000"/>
    <n v="3300000"/>
    <n v="0"/>
    <n v="0"/>
    <n v="0"/>
    <n v="3337000"/>
  </r>
  <r>
    <x v="3"/>
    <x v="6"/>
    <x v="22"/>
    <x v="2"/>
    <s v="Fijo"/>
    <s v="Nov"/>
    <n v="11"/>
    <n v="3300000"/>
    <n v="3300000"/>
    <n v="0"/>
    <n v="0"/>
    <n v="0"/>
    <n v="3317000"/>
  </r>
  <r>
    <x v="3"/>
    <x v="6"/>
    <x v="22"/>
    <x v="2"/>
    <s v="Fijo"/>
    <s v="Dic"/>
    <n v="12"/>
    <n v="3700000"/>
    <n v="3700000"/>
    <n v="0"/>
    <n v="0"/>
    <n v="0"/>
    <n v="373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79558A-F7A0-49E7-9DC8-E8E16AF7E459}" name="ptLineaTab" cacheId="5" applyNumberFormats="0" applyBorderFormats="0" applyFontFormats="0" applyPatternFormats="0" applyAlignmentFormats="0" applyWidthHeightFormats="1" dataCaption="Valores" updatedVersion="8" minRefreshableVersion="3" showCalcMbrs="0" useAutoFormatting="1" rowGrandTotals="0" colGrandTotals="0" itemPrintTitles="1" createdVersion="3" indent="0" compact="0" compactData="0" multipleFieldFilters="0">
  <location ref="O5:O6" firstHeaderRow="1" firstDataRow="1" firstDataCol="1"/>
  <pivotFields count="1">
    <pivotField axis="axisRow" compact="0" outline="0" showAll="0">
      <items count="5">
        <item x="0"/>
        <item h="1" x="1"/>
        <item h="1" x="2"/>
        <item h="1" x="3"/>
        <item t="default"/>
      </items>
    </pivotField>
  </pivotFields>
  <rowFields count="1">
    <field x="0"/>
  </rowFields>
  <rowItems count="1">
    <i>
      <x/>
    </i>
  </rowItems>
  <colItems count="1">
    <i/>
  </colItems>
  <pivotTableStyleInfo name="MEB Tabla"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70454C-625B-488D-BDD1-C37AA8D6F04F}" name="ptCC" cacheId="12" applyNumberFormats="0" applyBorderFormats="0" applyFontFormats="0" applyPatternFormats="0" applyAlignmentFormats="0" applyWidthHeightFormats="1" dataCaption="Valores" updatedVersion="8" minRefreshableVersion="3" showCalcMbrs="0" showDrill="0" rowGrandTotals="0" colGrandTotals="0" itemPrintTitles="1" createdVersion="3" indent="0" compact="0" compactData="0" multipleFieldFilters="0">
  <location ref="AK8:AM13" firstHeaderRow="1" firstDataRow="2" firstDataCol="1" rowPageCount="1" colPageCount="1"/>
  <pivotFields count="13">
    <pivotField axis="axisRow" compact="0" outline="0" showAll="0">
      <items count="5">
        <item x="2"/>
        <item x="0"/>
        <item x="3"/>
        <item x="1"/>
        <item t="default"/>
      </items>
    </pivotField>
    <pivotField compact="0" outline="0" showAll="0"/>
    <pivotField compact="0" outline="0" showAll="0"/>
    <pivotField axis="axisPage" compact="0" outline="0" showAll="0">
      <items count="4">
        <item x="1"/>
        <item x="2"/>
        <item x="0"/>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s>
  <rowFields count="1">
    <field x="0"/>
  </rowFields>
  <rowItems count="4">
    <i>
      <x/>
    </i>
    <i>
      <x v="1"/>
    </i>
    <i>
      <x v="2"/>
    </i>
    <i>
      <x v="3"/>
    </i>
  </rowItems>
  <colFields count="1">
    <field x="-2"/>
  </colFields>
  <colItems count="2">
    <i>
      <x/>
    </i>
    <i i="1">
      <x v="1"/>
    </i>
  </colItems>
  <pageFields count="1">
    <pageField fld="3" item="1" hier="-1"/>
  </pageFields>
  <dataFields count="2">
    <dataField name="Total Real" fld="7" baseField="0" baseItem="0" numFmtId="174"/>
    <dataField name="Total Presupuesto" fld="8" baseField="0" baseItem="0" numFmtId="174"/>
  </dataFields>
  <pivotTableStyleInfo name="MEB Tabla"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2252EB-00DA-4C83-B4D2-13DAB3921680}" name="ptCuenta" cacheId="12" applyNumberFormats="0" applyBorderFormats="0" applyFontFormats="0" applyPatternFormats="0" applyAlignmentFormats="0" applyWidthHeightFormats="1" dataCaption="Valores" updatedVersion="8" minRefreshableVersion="3" showCalcMbrs="0" showDrill="0" rowGrandTotals="0" colGrandTotals="0" itemPrintTitles="1" createdVersion="3" indent="0" compact="0" compactData="0" multipleFieldFilters="0">
  <location ref="F5:J29" firstHeaderRow="1" firstDataRow="2" firstDataCol="1"/>
  <pivotFields count="13">
    <pivotField compact="0" outline="0" showAll="0"/>
    <pivotField compact="0" outline="0" showAll="0"/>
    <pivotField axis="axisRow" compact="0" outline="0" showAll="0" sortType="descending">
      <items count="24">
        <item x="17"/>
        <item x="7"/>
        <item x="20"/>
        <item x="13"/>
        <item x="3"/>
        <item x="11"/>
        <item x="4"/>
        <item x="22"/>
        <item x="9"/>
        <item x="21"/>
        <item x="19"/>
        <item x="18"/>
        <item x="5"/>
        <item x="6"/>
        <item x="12"/>
        <item x="16"/>
        <item x="14"/>
        <item x="2"/>
        <item x="8"/>
        <item x="10"/>
        <item x="15"/>
        <item x="0"/>
        <item x="1"/>
        <item t="default"/>
      </items>
      <autoSortScope>
        <pivotArea dataOnly="0" outline="0" fieldPosition="0">
          <references count="1">
            <reference field="4294967294" count="1" selected="0">
              <x v="3"/>
            </reference>
          </references>
        </pivotArea>
      </autoSortScope>
    </pivotField>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s>
  <rowFields count="1">
    <field x="2"/>
  </rowFields>
  <rowItems count="23">
    <i>
      <x v="21"/>
    </i>
    <i>
      <x v="4"/>
    </i>
    <i>
      <x v="22"/>
    </i>
    <i>
      <x v="16"/>
    </i>
    <i>
      <x v="17"/>
    </i>
    <i>
      <x v="6"/>
    </i>
    <i>
      <x v="13"/>
    </i>
    <i>
      <x v="3"/>
    </i>
    <i>
      <x v="14"/>
    </i>
    <i>
      <x v="15"/>
    </i>
    <i>
      <x v="8"/>
    </i>
    <i>
      <x v="10"/>
    </i>
    <i>
      <x v="20"/>
    </i>
    <i>
      <x v="12"/>
    </i>
    <i>
      <x/>
    </i>
    <i>
      <x v="1"/>
    </i>
    <i>
      <x v="19"/>
    </i>
    <i>
      <x v="11"/>
    </i>
    <i>
      <x v="18"/>
    </i>
    <i>
      <x v="9"/>
    </i>
    <i>
      <x v="2"/>
    </i>
    <i>
      <x v="5"/>
    </i>
    <i>
      <x v="7"/>
    </i>
  </rowItems>
  <colFields count="1">
    <field x="-2"/>
  </colFields>
  <colItems count="4">
    <i>
      <x/>
    </i>
    <i i="1">
      <x v="1"/>
    </i>
    <i i="2">
      <x v="2"/>
    </i>
    <i i="3">
      <x v="3"/>
    </i>
  </colItems>
  <dataFields count="4">
    <dataField name="Total Real" fld="7" baseField="0" baseItem="0" numFmtId="174"/>
    <dataField name="Total Presupuesto" fld="8" baseField="0" baseItem="0" numFmtId="174"/>
    <dataField name="Total Var" fld="9" baseField="0" baseItem="0" numFmtId="174"/>
    <dataField name="Total VarAbs" fld="10" baseField="0" baseItem="0" numFmtId="174"/>
  </dataFields>
  <pivotTableStyleInfo name="MEB Tabla"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3850A3-2628-4EAA-9DBC-CFDEA8994654}" name="ptLinea" cacheId="12" applyNumberFormats="0" applyBorderFormats="0" applyFontFormats="0" applyPatternFormats="0" applyAlignmentFormats="0" applyWidthHeightFormats="1" dataCaption="Valores" updatedVersion="8" minRefreshableVersion="3" showCalcMbrs="0" showDrill="0" rowGrandTotals="0" colGrandTotals="0" itemPrintTitles="1" createdVersion="3" indent="0" compact="0" compactData="0" multipleFieldFilters="0">
  <location ref="A5:C13" firstHeaderRow="1" firstDataRow="2" firstDataCol="1"/>
  <pivotFields count="13">
    <pivotField compact="0" outline="0" showAll="0"/>
    <pivotField axis="axisRow" compact="0" outline="0" showAll="0">
      <items count="8">
        <item x="1"/>
        <item x="2"/>
        <item x="3"/>
        <item x="4"/>
        <item x="0"/>
        <item x="6"/>
        <item x="5"/>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s>
  <rowFields count="1">
    <field x="1"/>
  </rowFields>
  <rowItems count="7">
    <i>
      <x/>
    </i>
    <i>
      <x v="1"/>
    </i>
    <i>
      <x v="2"/>
    </i>
    <i>
      <x v="3"/>
    </i>
    <i>
      <x v="4"/>
    </i>
    <i>
      <x v="5"/>
    </i>
    <i>
      <x v="6"/>
    </i>
  </rowItems>
  <colFields count="1">
    <field x="-2"/>
  </colFields>
  <colItems count="2">
    <i>
      <x/>
    </i>
    <i i="1">
      <x v="1"/>
    </i>
  </colItems>
  <dataFields count="2">
    <dataField name="Total Real" fld="7" baseField="0" baseItem="0" numFmtId="174"/>
    <dataField name="Total Presupuesto" fld="8" baseField="0" baseItem="0" numFmtId="174"/>
  </dataFields>
  <pivotTableStyleInfo name="MEB Tabla"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LíneaTab" xr10:uid="{724FF2A3-F13B-4E28-85A4-D75292F48B1C}" sourceName="LíneaTab">
  <pivotTables>
    <pivotTable tabId="2" name="ptLineaTab"/>
  </pivotTables>
  <data>
    <tabular pivotCacheId="74378715">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Linea" xr10:uid="{56685298-B90A-43E5-8683-3A10909892F8}" cache="SegmentaciónDeDatos_LíneaTab" caption="LÍNEA DEL P&amp;G" columnCount="4" showCaption="0" style="MEB Pestañas" rowHeight="330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9C348B-D01A-49B1-B109-87225EC7FD76}" name="tReal27" displayName="tReal27" ref="B30:T53" totalsRowShown="0" headerRowDxfId="108" dataDxfId="107">
  <autoFilter ref="B30:T53" xr:uid="{D39C348B-D01A-49B1-B109-87225EC7FD76}"/>
  <tableColumns count="19">
    <tableColumn id="1" xr3:uid="{213178C0-7FD9-4C1A-9FDD-70745587BE5D}" name="Cuenta" dataDxfId="106"/>
    <tableColumn id="2" xr3:uid="{6FFB2DC0-0C79-4613-B044-318C35AC0C37}" name="Línea" dataDxfId="105"/>
    <tableColumn id="3" xr3:uid="{079D6A57-E55B-4921-9289-6DC01ED5F722}" name="Tipo" dataDxfId="104"/>
    <tableColumn id="4" xr3:uid="{CABC4ED9-CAC8-43C9-A780-0D264CA1086F}" name="Ene" dataDxfId="103"/>
    <tableColumn id="5" xr3:uid="{D3B0F6AF-3672-41AC-8961-DC41185900E0}" name="Feb" dataDxfId="102"/>
    <tableColumn id="6" xr3:uid="{E339CB85-257C-4368-BD57-3D9D95B05063}" name="Mar" dataDxfId="101"/>
    <tableColumn id="7" xr3:uid="{02168755-0768-438A-A2DD-645C672627FA}" name="Abr" dataDxfId="100"/>
    <tableColumn id="8" xr3:uid="{FD0B27A6-E983-4C18-91A0-CC071AF997AC}" name="May" dataDxfId="99"/>
    <tableColumn id="9" xr3:uid="{8D89F841-40FA-4DBF-A4B1-B91E6C19D805}" name="Jun" dataDxfId="98"/>
    <tableColumn id="10" xr3:uid="{A38EBA7E-2D9D-4082-925A-704810A1CBC0}" name="Jul" dataDxfId="97"/>
    <tableColumn id="11" xr3:uid="{C9FEADE5-D849-4A91-A248-025247D410E8}" name="Ago" dataDxfId="96"/>
    <tableColumn id="12" xr3:uid="{B8A4C15A-ACE4-4253-B4AF-56C49A14BF45}" name="Sep" dataDxfId="95"/>
    <tableColumn id="13" xr3:uid="{773CB73C-75AA-4103-97B7-14AD77B3C27B}" name="Oct" dataDxfId="94"/>
    <tableColumn id="14" xr3:uid="{5E05AB73-42A0-41B9-AF26-0F69166BBD22}" name="Nov" dataDxfId="93"/>
    <tableColumn id="15" xr3:uid="{7D42F3E5-A5D9-4542-A416-62C9EF932CD4}" name="Dic" dataDxfId="92"/>
    <tableColumn id="16" xr3:uid="{B6C51847-5B32-4C5A-8B09-964013448124}" name="Ppto acum." dataDxfId="91">
      <calculatedColumnFormula>SUM(INDEX('PPTO 2027'!$V$1:$AG$400,MATCH(tReal27[[#This Row],[Cuenta]],'PPTO 2027'!$B$1:$B$400,0),1):INDEX('PPTO 2027'!$V$1:$AG$400,MATCH(tReal27[[#This Row],[Cuenta]],'PPTO 2027'!$B$1:$B$400,0),pMesCorte))</calculatedColumnFormula>
    </tableColumn>
    <tableColumn id="17" xr3:uid="{02E46ABC-FBDB-4F3A-A88C-60912651931C}" name="Real acum." dataDxfId="90">
      <calculatedColumnFormula>SUM(INDEX(tReal27[[#This Row],[Ene]:[Dic]],1,1):INDEX(tReal27[[#This Row],[Ene]:[Dic]],1,pMesCorte))</calculatedColumnFormula>
    </tableColumn>
    <tableColumn id="18" xr3:uid="{8CD6B0A7-64EE-4CFB-AC84-2517D66910E3}" name="Var $" dataDxfId="89">
      <calculatedColumnFormula>tReal27[[#This Row],[Real acum.]]-tReal27[[#This Row],[Ppto acum.]]</calculatedColumnFormula>
    </tableColumn>
    <tableColumn id="19" xr3:uid="{BA2C4C1E-0A76-4A19-BBA0-AD8437E691E3}" name="Var %" dataDxfId="88">
      <calculatedColumnFormula>IFERROR(tReal27[[#This Row],[Var $]]/ABS(tReal27[[#This Row],[Ppto acum.]]),"")</calculatedColumnFormula>
    </tableColumn>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592360-BDB7-420B-B03F-FBB844DA23C8}" name="tLinea" displayName="tLinea" ref="L3:L7" totalsRowShown="0" headerRowDxfId="87" dataDxfId="86">
  <autoFilter ref="L3:L7" xr:uid="{10592360-BDB7-420B-B03F-FBB844DA23C8}"/>
  <tableColumns count="1">
    <tableColumn id="1" xr3:uid="{857E1B96-AE72-4ABE-9D3E-2674EC651454}" name="LíneaTab" dataDxfId="8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12C191-BA44-4739-85D2-567A7BAC76A5}" name="qPPTO" displayName="qPPTO" ref="A1:M277" totalsRowShown="0" headerRowDxfId="84" dataDxfId="83">
  <autoFilter ref="A1:M277" xr:uid="{2C12C191-BA44-4739-85D2-567A7BAC76A5}"/>
  <tableColumns count="13">
    <tableColumn id="1" xr3:uid="{249012F6-3788-47E5-817E-D52B756D7008}" name="Centro de costo" dataDxfId="82">
      <calculatedColumnFormula>'PPTO 2027'!$E$56</calculatedColumnFormula>
    </tableColumn>
    <tableColumn id="2" xr3:uid="{DCA3196A-215F-4977-9F91-A66BF3A5DAAD}" name="Línea" dataDxfId="81">
      <calculatedColumnFormula>'PPTO 2027'!$C$56</calculatedColumnFormula>
    </tableColumn>
    <tableColumn id="3" xr3:uid="{4BEDE6ED-A60F-4359-B703-7C35EA25C18A}" name="Cuenta" dataDxfId="80">
      <calculatedColumnFormula>'PPTO 2027'!$B$56</calculatedColumnFormula>
    </tableColumn>
    <tableColumn id="4" xr3:uid="{F6AE360D-81D9-4055-93A2-4A41DE9FC047}" name="Tipo" dataDxfId="79">
      <calculatedColumnFormula>'PPTO 2027'!$D$56</calculatedColumnFormula>
    </tableColumn>
    <tableColumn id="5" xr3:uid="{364960BF-60BF-4705-A4DA-72A8D8C2391E}" name="Driver" dataDxfId="78">
      <calculatedColumnFormula>'PPTO 2027'!$F$56</calculatedColumnFormula>
    </tableColumn>
    <tableColumn id="6" xr3:uid="{66798BEB-B680-4D3E-AFC2-39F1897EEF4D}" name="Mes" dataDxfId="77"/>
    <tableColumn id="7" xr3:uid="{5E18B035-CB38-43E2-897D-40F082399803}" name="MesNum" dataDxfId="76"/>
    <tableColumn id="8" xr3:uid="{6BBA7F45-C846-4AA7-9CEE-A149D51BCB66}" name="Real" dataDxfId="75"/>
    <tableColumn id="9" xr3:uid="{2CC6DFEC-6915-41E3-8788-875F730BE8D8}" name="Presupuesto" dataDxfId="74"/>
    <tableColumn id="10" xr3:uid="{1DCEA630-0F42-4998-B960-9E5D267F9EDE}" name="Var" dataDxfId="73">
      <calculatedColumnFormula>I2-H2</calculatedColumnFormula>
    </tableColumn>
    <tableColumn id="11" xr3:uid="{0E9EA059-FF23-4EF0-BBDF-B42799A5B8D7}" name="VarAbs" dataDxfId="72">
      <calculatedColumnFormula>ABS(J2)</calculatedColumnFormula>
    </tableColumn>
    <tableColumn id="12" xr3:uid="{8FD444D7-BFEB-499A-8F4F-C6B1E4231838}" name="VarPct" dataDxfId="71">
      <calculatedColumnFormula>IF(H2=0,"",J2/H2)</calculatedColumnFormula>
    </tableColumn>
    <tableColumn id="13" xr3:uid="{D1E1F2D4-36F5-440F-B5B0-A37D0370EE7F}" name="Real 2027" dataDxfId="70"/>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linkedin.com/in/mauricio-escobar-bernales/" TargetMode="Externa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2.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D802E-6CE9-4C0D-989E-40D884249704}">
  <sheetPr codeName="Hoja1">
    <tabColor rgb="FF8F6410"/>
  </sheetPr>
  <dimension ref="K7:K29"/>
  <sheetViews>
    <sheetView showGridLines="0" tabSelected="1" zoomScale="85" zoomScaleNormal="85" workbookViewId="0"/>
  </sheetViews>
  <sheetFormatPr baseColWidth="10" defaultRowHeight="14" x14ac:dyDescent="0.4"/>
  <cols>
    <col min="1" max="10" width="3.1796875" style="1" customWidth="1"/>
    <col min="11" max="11" width="110.6328125" style="1" customWidth="1"/>
    <col min="12" max="16384" width="10.90625" style="1"/>
  </cols>
  <sheetData>
    <row r="7" spans="11:11" ht="16" x14ac:dyDescent="0.45">
      <c r="K7" s="154" t="s">
        <v>276</v>
      </c>
    </row>
    <row r="8" spans="11:11" ht="64" customHeight="1" x14ac:dyDescent="0.4">
      <c r="K8" s="155" t="s">
        <v>277</v>
      </c>
    </row>
    <row r="10" spans="11:11" ht="16" x14ac:dyDescent="0.45">
      <c r="K10" s="154" t="s">
        <v>278</v>
      </c>
    </row>
    <row r="11" spans="11:11" ht="50.5" customHeight="1" x14ac:dyDescent="0.4">
      <c r="K11" s="155" t="s">
        <v>279</v>
      </c>
    </row>
    <row r="13" spans="11:11" ht="16" x14ac:dyDescent="0.45">
      <c r="K13" s="154" t="s">
        <v>280</v>
      </c>
    </row>
    <row r="14" spans="11:11" ht="50.5" customHeight="1" x14ac:dyDescent="0.4">
      <c r="K14" s="155" t="s">
        <v>281</v>
      </c>
    </row>
    <row r="16" spans="11:11" ht="16" x14ac:dyDescent="0.45">
      <c r="K16" s="154" t="s">
        <v>282</v>
      </c>
    </row>
    <row r="17" spans="11:11" ht="50.5" customHeight="1" x14ac:dyDescent="0.4">
      <c r="K17" s="155" t="s">
        <v>283</v>
      </c>
    </row>
    <row r="19" spans="11:11" ht="16" x14ac:dyDescent="0.45">
      <c r="K19" s="154" t="s">
        <v>284</v>
      </c>
    </row>
    <row r="20" spans="11:11" ht="37" customHeight="1" x14ac:dyDescent="0.4">
      <c r="K20" s="155" t="s">
        <v>285</v>
      </c>
    </row>
    <row r="22" spans="11:11" ht="16" x14ac:dyDescent="0.45">
      <c r="K22" s="154" t="s">
        <v>286</v>
      </c>
    </row>
    <row r="23" spans="11:11" ht="50.5" customHeight="1" x14ac:dyDescent="0.4">
      <c r="K23" s="155" t="s">
        <v>287</v>
      </c>
    </row>
    <row r="25" spans="11:11" ht="16" x14ac:dyDescent="0.45">
      <c r="K25" s="157" t="s">
        <v>288</v>
      </c>
    </row>
    <row r="26" spans="11:11" ht="50.5" customHeight="1" x14ac:dyDescent="0.4">
      <c r="K26" s="156" t="s">
        <v>289</v>
      </c>
    </row>
    <row r="29" spans="11:11" x14ac:dyDescent="0.4">
      <c r="K29" s="6" t="s">
        <v>290</v>
      </c>
    </row>
  </sheetData>
  <hyperlinks>
    <hyperlink ref="K26" r:id="rId1" tooltip="Escribirle a Mauricio por LinkedIn" display="https://www.linkedin.com/in/mauricio-escobar-bernales/" xr:uid="{C1C616DA-F5C4-46B7-B05F-431A5CFE9C93}"/>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B47F5-6506-4C88-B4B8-A135D6C01756}">
  <sheetPr codeName="Hoja2">
    <tabColor rgb="FF0E4D5C"/>
  </sheetPr>
  <dimension ref="A1"/>
  <sheetViews>
    <sheetView showGridLines="0" zoomScale="85" zoomScaleNormal="85" workbookViewId="0">
      <selection activeCell="BH71" sqref="BH71"/>
    </sheetView>
  </sheetViews>
  <sheetFormatPr baseColWidth="10" defaultColWidth="3.1796875" defaultRowHeight="15" customHeight="1" x14ac:dyDescent="0.4"/>
  <cols>
    <col min="1" max="16384" width="3.1796875" style="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9E3E4-B7D2-42B0-9118-1D8D7F96791A}">
  <sheetPr codeName="Hoja3">
    <tabColor rgb="FFD6A44E"/>
  </sheetPr>
  <dimension ref="B2:AW61"/>
  <sheetViews>
    <sheetView showGridLines="0" zoomScale="70" zoomScaleNormal="70" workbookViewId="0">
      <pane xSplit="4" ySplit="12" topLeftCell="F13" activePane="bottomRight" state="frozen"/>
      <selection pane="topRight" activeCell="E1" sqref="E1"/>
      <selection pane="bottomLeft" activeCell="A13" sqref="A13"/>
      <selection pane="bottomRight" activeCell="AT14" sqref="AT14"/>
    </sheetView>
  </sheetViews>
  <sheetFormatPr baseColWidth="10" defaultRowHeight="14" outlineLevelCol="1" x14ac:dyDescent="0.4"/>
  <cols>
    <col min="1" max="1" width="2.6328125" style="2" customWidth="1"/>
    <col min="2" max="2" width="36.6328125" style="2" customWidth="1"/>
    <col min="3" max="3" width="22.6328125" style="2" hidden="1" customWidth="1" outlineLevel="1"/>
    <col min="4" max="4" width="8.6328125" style="2" hidden="1" customWidth="1" outlineLevel="1"/>
    <col min="5" max="5" width="14.6328125" style="2" customWidth="1" collapsed="1"/>
    <col min="6" max="6" width="13.6328125" style="2" customWidth="1"/>
    <col min="7" max="7" width="9.6328125" style="2" customWidth="1"/>
    <col min="8" max="8" width="2.6328125" style="2" customWidth="1"/>
    <col min="9" max="20" width="8.6328125" style="2" hidden="1" customWidth="1" outlineLevel="1"/>
    <col min="21" max="21" width="11.1796875" style="2" customWidth="1" collapsed="1"/>
    <col min="22" max="33" width="8.6328125" style="2" customWidth="1" outlineLevel="1"/>
    <col min="34" max="34" width="11.1796875" style="2" customWidth="1"/>
    <col min="35" max="35" width="2.6328125" style="2" customWidth="1"/>
    <col min="36" max="37" width="9.6328125" style="2" customWidth="1"/>
    <col min="38" max="45" width="9.6328125" style="2" hidden="1" customWidth="1" outlineLevel="1"/>
    <col min="46" max="46" width="13.6328125" style="2" customWidth="1" collapsed="1"/>
    <col min="47" max="49" width="9.6328125" style="2" customWidth="1"/>
    <col min="50" max="16384" width="10.90625" style="2"/>
  </cols>
  <sheetData>
    <row r="2" spans="2:49" x14ac:dyDescent="0.4">
      <c r="B2" s="4" t="s">
        <v>0</v>
      </c>
    </row>
    <row r="3" spans="2:49" x14ac:dyDescent="0.4">
      <c r="B3" s="3" t="s">
        <v>1</v>
      </c>
    </row>
    <row r="4" spans="2:49" x14ac:dyDescent="0.4">
      <c r="B4" s="125" t="s">
        <v>2</v>
      </c>
    </row>
    <row r="6" spans="2:49" x14ac:dyDescent="0.4">
      <c r="B6" s="5" t="s">
        <v>3</v>
      </c>
    </row>
    <row r="7" spans="2:49" x14ac:dyDescent="0.4">
      <c r="B7" s="7" t="s">
        <v>4</v>
      </c>
      <c r="C7" s="7"/>
      <c r="D7" s="7"/>
      <c r="E7" s="7"/>
      <c r="F7" s="7"/>
      <c r="G7" s="8">
        <v>0.04</v>
      </c>
      <c r="I7" s="3" t="s">
        <v>5</v>
      </c>
    </row>
    <row r="8" spans="2:49" x14ac:dyDescent="0.4">
      <c r="B8" s="9" t="s">
        <v>6</v>
      </c>
      <c r="C8" s="9"/>
      <c r="D8" s="9"/>
      <c r="E8" s="9"/>
      <c r="F8" s="9"/>
      <c r="G8" s="10">
        <v>7.0000000000000007E-2</v>
      </c>
      <c r="I8" s="3" t="s">
        <v>7</v>
      </c>
    </row>
    <row r="9" spans="2:49" x14ac:dyDescent="0.4">
      <c r="B9" s="47" t="s">
        <v>8</v>
      </c>
    </row>
    <row r="11" spans="2:49" x14ac:dyDescent="0.4">
      <c r="I11" s="158" t="s">
        <v>59</v>
      </c>
      <c r="J11" s="158"/>
      <c r="K11" s="158"/>
      <c r="L11" s="158"/>
      <c r="M11" s="158"/>
      <c r="N11" s="158"/>
      <c r="O11" s="158"/>
      <c r="P11" s="158"/>
      <c r="Q11" s="158"/>
      <c r="R11" s="158"/>
      <c r="S11" s="158"/>
      <c r="T11" s="158"/>
      <c r="U11" s="158"/>
      <c r="V11" s="159" t="s">
        <v>60</v>
      </c>
      <c r="W11" s="159"/>
      <c r="X11" s="159"/>
      <c r="Y11" s="159"/>
      <c r="Z11" s="159"/>
      <c r="AA11" s="159"/>
      <c r="AB11" s="159"/>
      <c r="AC11" s="159"/>
      <c r="AD11" s="159"/>
      <c r="AE11" s="159"/>
      <c r="AF11" s="159"/>
      <c r="AG11" s="159"/>
      <c r="AH11" s="159"/>
      <c r="AJ11" s="160" t="s">
        <v>61</v>
      </c>
      <c r="AK11" s="160"/>
      <c r="AL11" s="160"/>
      <c r="AM11" s="160"/>
      <c r="AN11" s="160"/>
      <c r="AO11" s="160"/>
      <c r="AP11" s="160"/>
      <c r="AQ11" s="160"/>
      <c r="AR11" s="160"/>
      <c r="AS11" s="160"/>
      <c r="AT11" s="160"/>
      <c r="AU11" s="160"/>
      <c r="AV11" s="160"/>
      <c r="AW11" s="160"/>
    </row>
    <row r="12" spans="2:49" ht="26" customHeight="1" x14ac:dyDescent="0.4">
      <c r="B12" s="11" t="s">
        <v>13</v>
      </c>
      <c r="C12" s="11" t="s">
        <v>14</v>
      </c>
      <c r="D12" s="11" t="s">
        <v>15</v>
      </c>
      <c r="E12" s="11" t="s">
        <v>16</v>
      </c>
      <c r="F12" s="11" t="s">
        <v>17</v>
      </c>
      <c r="G12" s="12" t="s">
        <v>18</v>
      </c>
      <c r="H12" s="12"/>
      <c r="I12" s="12" t="s">
        <v>27</v>
      </c>
      <c r="J12" s="12" t="s">
        <v>29</v>
      </c>
      <c r="K12" s="12" t="s">
        <v>31</v>
      </c>
      <c r="L12" s="12" t="s">
        <v>33</v>
      </c>
      <c r="M12" s="12" t="s">
        <v>35</v>
      </c>
      <c r="N12" s="12" t="s">
        <v>37</v>
      </c>
      <c r="O12" s="12" t="s">
        <v>39</v>
      </c>
      <c r="P12" s="12" t="s">
        <v>41</v>
      </c>
      <c r="Q12" s="12" t="s">
        <v>43</v>
      </c>
      <c r="R12" s="12" t="s">
        <v>45</v>
      </c>
      <c r="S12" s="12" t="s">
        <v>47</v>
      </c>
      <c r="T12" s="12" t="s">
        <v>49</v>
      </c>
      <c r="U12" s="12" t="s">
        <v>19</v>
      </c>
      <c r="V12" s="12" t="s">
        <v>28</v>
      </c>
      <c r="W12" s="12" t="s">
        <v>30</v>
      </c>
      <c r="X12" s="12" t="s">
        <v>32</v>
      </c>
      <c r="Y12" s="12" t="s">
        <v>34</v>
      </c>
      <c r="Z12" s="12" t="s">
        <v>36</v>
      </c>
      <c r="AA12" s="12" t="s">
        <v>38</v>
      </c>
      <c r="AB12" s="12" t="s">
        <v>40</v>
      </c>
      <c r="AC12" s="12" t="s">
        <v>42</v>
      </c>
      <c r="AD12" s="12" t="s">
        <v>44</v>
      </c>
      <c r="AE12" s="12" t="s">
        <v>46</v>
      </c>
      <c r="AF12" s="12" t="s">
        <v>48</v>
      </c>
      <c r="AG12" s="12" t="s">
        <v>50</v>
      </c>
      <c r="AH12" s="12" t="s">
        <v>20</v>
      </c>
      <c r="AI12" s="13"/>
      <c r="AJ12" s="12" t="s">
        <v>21</v>
      </c>
      <c r="AK12" s="12" t="s">
        <v>22</v>
      </c>
      <c r="AL12" s="12" t="s">
        <v>51</v>
      </c>
      <c r="AM12" s="12" t="s">
        <v>53</v>
      </c>
      <c r="AN12" s="12" t="s">
        <v>55</v>
      </c>
      <c r="AO12" s="12" t="s">
        <v>57</v>
      </c>
      <c r="AP12" s="12" t="s">
        <v>52</v>
      </c>
      <c r="AQ12" s="12" t="s">
        <v>54</v>
      </c>
      <c r="AR12" s="12" t="s">
        <v>56</v>
      </c>
      <c r="AS12" s="12" t="s">
        <v>58</v>
      </c>
      <c r="AT12" s="12" t="s">
        <v>23</v>
      </c>
      <c r="AU12" s="12" t="s">
        <v>24</v>
      </c>
      <c r="AV12" s="12" t="s">
        <v>25</v>
      </c>
      <c r="AW12" s="12" t="s">
        <v>26</v>
      </c>
    </row>
    <row r="13" spans="2:49" x14ac:dyDescent="0.4">
      <c r="B13" s="5" t="s">
        <v>62</v>
      </c>
      <c r="G13" s="74"/>
      <c r="U13" s="4"/>
      <c r="AH13" s="4"/>
    </row>
    <row r="14" spans="2:49" x14ac:dyDescent="0.4">
      <c r="B14" s="15" t="s">
        <v>63</v>
      </c>
      <c r="C14" s="16" t="s">
        <v>64</v>
      </c>
      <c r="D14" s="16" t="s">
        <v>65</v>
      </c>
      <c r="E14" s="16" t="s">
        <v>66</v>
      </c>
      <c r="F14" s="16" t="s">
        <v>67</v>
      </c>
      <c r="G14" s="75">
        <v>0.113</v>
      </c>
      <c r="H14" s="7"/>
      <c r="I14" s="17">
        <v>640000000</v>
      </c>
      <c r="J14" s="17">
        <v>680000000</v>
      </c>
      <c r="K14" s="17">
        <v>760000000</v>
      </c>
      <c r="L14" s="17">
        <v>760000000</v>
      </c>
      <c r="M14" s="17">
        <v>800000000</v>
      </c>
      <c r="N14" s="17">
        <v>800000000</v>
      </c>
      <c r="O14" s="17">
        <v>800000000</v>
      </c>
      <c r="P14" s="17">
        <v>840000000</v>
      </c>
      <c r="Q14" s="17">
        <v>800000000</v>
      </c>
      <c r="R14" s="17">
        <v>840000000</v>
      </c>
      <c r="S14" s="17">
        <v>920000000</v>
      </c>
      <c r="T14" s="17">
        <v>960000000</v>
      </c>
      <c r="U14" s="84">
        <f>SUM(I14:T14)</f>
        <v>9600000000</v>
      </c>
      <c r="V14" s="18">
        <f t="shared" ref="V14:AG16" si="0">I14*(1+$G14)</f>
        <v>712320000</v>
      </c>
      <c r="W14" s="18">
        <f t="shared" si="0"/>
        <v>756840000</v>
      </c>
      <c r="X14" s="18">
        <f t="shared" si="0"/>
        <v>845880000</v>
      </c>
      <c r="Y14" s="18">
        <f t="shared" si="0"/>
        <v>845880000</v>
      </c>
      <c r="Z14" s="18">
        <f t="shared" si="0"/>
        <v>890400000</v>
      </c>
      <c r="AA14" s="18">
        <f t="shared" si="0"/>
        <v>890400000</v>
      </c>
      <c r="AB14" s="18">
        <f t="shared" si="0"/>
        <v>890400000</v>
      </c>
      <c r="AC14" s="18">
        <f t="shared" si="0"/>
        <v>934920000</v>
      </c>
      <c r="AD14" s="18">
        <f t="shared" si="0"/>
        <v>890400000</v>
      </c>
      <c r="AE14" s="18">
        <f t="shared" si="0"/>
        <v>934920000</v>
      </c>
      <c r="AF14" s="18">
        <f t="shared" si="0"/>
        <v>1023960000</v>
      </c>
      <c r="AG14" s="18">
        <f t="shared" si="0"/>
        <v>1068480000</v>
      </c>
      <c r="AH14" s="84">
        <f>SUM(V14:AG14)</f>
        <v>10684800000</v>
      </c>
      <c r="AI14" s="7"/>
      <c r="AJ14" s="19">
        <f>AH14-U14</f>
        <v>1084800000</v>
      </c>
      <c r="AK14" s="20">
        <f>IFERROR(AJ14/ABS(U14),"")</f>
        <v>0.113</v>
      </c>
      <c r="AL14" s="19">
        <f>SUM(V14:X14)-SUM(I14:K14)</f>
        <v>235040000</v>
      </c>
      <c r="AM14" s="19">
        <f>SUM(Y14:AA14)-SUM(L14:N14)</f>
        <v>266680000</v>
      </c>
      <c r="AN14" s="19">
        <f>SUM(AB14:AD14)-SUM(O14:Q14)</f>
        <v>275720000</v>
      </c>
      <c r="AO14" s="19">
        <f>SUM(AE14:AG14)-SUM(R14:T14)</f>
        <v>307360000</v>
      </c>
      <c r="AP14" s="20">
        <f>IFERROR(AL14/ABS(SUM(I14:K14)),"")</f>
        <v>0.113</v>
      </c>
      <c r="AQ14" s="20">
        <f>IFERROR(AM14/ABS(SUM(L14:N14)),"")</f>
        <v>0.113</v>
      </c>
      <c r="AR14" s="20">
        <f>IFERROR(AN14/ABS(SUM(O14:Q14)),"")</f>
        <v>0.113</v>
      </c>
      <c r="AS14" s="20">
        <f>IFERROR(AO14/ABS(SUM(R14:T14)),"")</f>
        <v>0.113</v>
      </c>
      <c r="AT14" s="7"/>
      <c r="AU14" s="21">
        <f>IFERROR(U14/$U$17,0)</f>
        <v>0.8</v>
      </c>
      <c r="AV14" s="21">
        <f>IFERROR(AH14/$AH$17,0)</f>
        <v>0.78239093185712405</v>
      </c>
      <c r="AW14" s="22">
        <f>(AV14-AU14)*100</f>
        <v>-1.7609068142875994</v>
      </c>
    </row>
    <row r="15" spans="2:49" x14ac:dyDescent="0.4">
      <c r="B15" s="27" t="s">
        <v>68</v>
      </c>
      <c r="C15" s="28" t="s">
        <v>64</v>
      </c>
      <c r="D15" s="28" t="s">
        <v>65</v>
      </c>
      <c r="E15" s="28" t="s">
        <v>66</v>
      </c>
      <c r="F15" s="28" t="s">
        <v>67</v>
      </c>
      <c r="G15" s="76">
        <v>0.28000000000000003</v>
      </c>
      <c r="H15" s="29"/>
      <c r="I15" s="30">
        <v>120000000</v>
      </c>
      <c r="J15" s="30">
        <v>127500000</v>
      </c>
      <c r="K15" s="30">
        <v>142500000</v>
      </c>
      <c r="L15" s="30">
        <v>142500000</v>
      </c>
      <c r="M15" s="30">
        <v>150000000</v>
      </c>
      <c r="N15" s="30">
        <v>150000000</v>
      </c>
      <c r="O15" s="30">
        <v>150000000</v>
      </c>
      <c r="P15" s="30">
        <v>157500000</v>
      </c>
      <c r="Q15" s="30">
        <v>150000000</v>
      </c>
      <c r="R15" s="30">
        <v>157500000</v>
      </c>
      <c r="S15" s="30">
        <v>172500000</v>
      </c>
      <c r="T15" s="30">
        <v>180000000</v>
      </c>
      <c r="U15" s="39">
        <f>SUM(I15:T15)</f>
        <v>1800000000</v>
      </c>
      <c r="V15" s="31">
        <f t="shared" si="0"/>
        <v>153600000</v>
      </c>
      <c r="W15" s="31">
        <f t="shared" si="0"/>
        <v>163200000</v>
      </c>
      <c r="X15" s="31">
        <f t="shared" si="0"/>
        <v>182400000</v>
      </c>
      <c r="Y15" s="31">
        <f t="shared" si="0"/>
        <v>182400000</v>
      </c>
      <c r="Z15" s="31">
        <f t="shared" si="0"/>
        <v>192000000</v>
      </c>
      <c r="AA15" s="31">
        <f t="shared" si="0"/>
        <v>192000000</v>
      </c>
      <c r="AB15" s="31">
        <f t="shared" si="0"/>
        <v>192000000</v>
      </c>
      <c r="AC15" s="31">
        <f t="shared" si="0"/>
        <v>201600000</v>
      </c>
      <c r="AD15" s="31">
        <f t="shared" si="0"/>
        <v>192000000</v>
      </c>
      <c r="AE15" s="31">
        <f t="shared" si="0"/>
        <v>201600000</v>
      </c>
      <c r="AF15" s="31">
        <f t="shared" si="0"/>
        <v>220800000</v>
      </c>
      <c r="AG15" s="31">
        <f t="shared" si="0"/>
        <v>230400000</v>
      </c>
      <c r="AH15" s="39">
        <f>SUM(V15:AG15)</f>
        <v>2304000000</v>
      </c>
      <c r="AI15" s="29"/>
      <c r="AJ15" s="32">
        <f>AH15-U15</f>
        <v>504000000</v>
      </c>
      <c r="AK15" s="33">
        <f>IFERROR(AJ15/ABS(U15),"")</f>
        <v>0.28000000000000003</v>
      </c>
      <c r="AL15" s="32">
        <f>SUM(V15:X15)-SUM(I15:K15)</f>
        <v>109200000</v>
      </c>
      <c r="AM15" s="32">
        <f>SUM(Y15:AA15)-SUM(L15:N15)</f>
        <v>123900000</v>
      </c>
      <c r="AN15" s="32">
        <f>SUM(AB15:AD15)-SUM(O15:Q15)</f>
        <v>128100000</v>
      </c>
      <c r="AO15" s="32">
        <f>SUM(AE15:AG15)-SUM(R15:T15)</f>
        <v>142800000</v>
      </c>
      <c r="AP15" s="33">
        <f>IFERROR(AL15/ABS(SUM(I15:K15)),"")</f>
        <v>0.28000000000000003</v>
      </c>
      <c r="AQ15" s="33">
        <f>IFERROR(AM15/ABS(SUM(L15:N15)),"")</f>
        <v>0.28000000000000003</v>
      </c>
      <c r="AR15" s="33">
        <f>IFERROR(AN15/ABS(SUM(O15:Q15)),"")</f>
        <v>0.28000000000000003</v>
      </c>
      <c r="AS15" s="33">
        <f>IFERROR(AO15/ABS(SUM(R15:T15)),"")</f>
        <v>0.28000000000000003</v>
      </c>
      <c r="AT15" s="29"/>
      <c r="AU15" s="34">
        <f>IFERROR(U15/$U$17,0)</f>
        <v>0.15</v>
      </c>
      <c r="AV15" s="34">
        <f>IFERROR(AH15/$AH$17,0)</f>
        <v>0.16870963490180571</v>
      </c>
      <c r="AW15" s="35">
        <f>(AV15-AU15)*100</f>
        <v>1.8709634901805716</v>
      </c>
    </row>
    <row r="16" spans="2:49" x14ac:dyDescent="0.4">
      <c r="B16" s="27" t="s">
        <v>69</v>
      </c>
      <c r="C16" s="28" t="s">
        <v>64</v>
      </c>
      <c r="D16" s="28" t="s">
        <v>65</v>
      </c>
      <c r="E16" s="28" t="s">
        <v>66</v>
      </c>
      <c r="F16" s="28" t="s">
        <v>67</v>
      </c>
      <c r="G16" s="76">
        <v>0.113</v>
      </c>
      <c r="H16" s="29"/>
      <c r="I16" s="30">
        <v>40000000</v>
      </c>
      <c r="J16" s="30">
        <v>42500000</v>
      </c>
      <c r="K16" s="30">
        <v>47500000</v>
      </c>
      <c r="L16" s="30">
        <v>47500000</v>
      </c>
      <c r="M16" s="30">
        <v>50000000</v>
      </c>
      <c r="N16" s="30">
        <v>50000000</v>
      </c>
      <c r="O16" s="30">
        <v>50000000</v>
      </c>
      <c r="P16" s="30">
        <v>52500000</v>
      </c>
      <c r="Q16" s="30">
        <v>50000000</v>
      </c>
      <c r="R16" s="30">
        <v>52500000</v>
      </c>
      <c r="S16" s="30">
        <v>57500000</v>
      </c>
      <c r="T16" s="30">
        <v>60000000</v>
      </c>
      <c r="U16" s="39">
        <f>SUM(I16:T16)</f>
        <v>600000000</v>
      </c>
      <c r="V16" s="31">
        <f t="shared" si="0"/>
        <v>44520000</v>
      </c>
      <c r="W16" s="31">
        <f t="shared" si="0"/>
        <v>47302500</v>
      </c>
      <c r="X16" s="31">
        <f t="shared" si="0"/>
        <v>52867500</v>
      </c>
      <c r="Y16" s="31">
        <f t="shared" si="0"/>
        <v>52867500</v>
      </c>
      <c r="Z16" s="31">
        <f t="shared" si="0"/>
        <v>55650000</v>
      </c>
      <c r="AA16" s="31">
        <f t="shared" si="0"/>
        <v>55650000</v>
      </c>
      <c r="AB16" s="31">
        <f t="shared" si="0"/>
        <v>55650000</v>
      </c>
      <c r="AC16" s="31">
        <f t="shared" si="0"/>
        <v>58432500</v>
      </c>
      <c r="AD16" s="31">
        <f t="shared" si="0"/>
        <v>55650000</v>
      </c>
      <c r="AE16" s="31">
        <f t="shared" si="0"/>
        <v>58432500</v>
      </c>
      <c r="AF16" s="31">
        <f t="shared" si="0"/>
        <v>63997500</v>
      </c>
      <c r="AG16" s="31">
        <f t="shared" si="0"/>
        <v>66780000</v>
      </c>
      <c r="AH16" s="39">
        <f>SUM(V16:AG16)</f>
        <v>667800000</v>
      </c>
      <c r="AI16" s="29"/>
      <c r="AJ16" s="32">
        <f>AH16-U16</f>
        <v>67800000</v>
      </c>
      <c r="AK16" s="33">
        <f>IFERROR(AJ16/ABS(U16),"")</f>
        <v>0.113</v>
      </c>
      <c r="AL16" s="32">
        <f>SUM(V16:X16)-SUM(I16:K16)</f>
        <v>14690000</v>
      </c>
      <c r="AM16" s="32">
        <f>SUM(Y16:AA16)-SUM(L16:N16)</f>
        <v>16667500</v>
      </c>
      <c r="AN16" s="32">
        <f>SUM(AB16:AD16)-SUM(O16:Q16)</f>
        <v>17232500</v>
      </c>
      <c r="AO16" s="32">
        <f>SUM(AE16:AG16)-SUM(R16:T16)</f>
        <v>19210000</v>
      </c>
      <c r="AP16" s="33">
        <f>IFERROR(AL16/ABS(SUM(I16:K16)),"")</f>
        <v>0.113</v>
      </c>
      <c r="AQ16" s="33">
        <f>IFERROR(AM16/ABS(SUM(L16:N16)),"")</f>
        <v>0.113</v>
      </c>
      <c r="AR16" s="33">
        <f>IFERROR(AN16/ABS(SUM(O16:Q16)),"")</f>
        <v>0.113</v>
      </c>
      <c r="AS16" s="33">
        <f>IFERROR(AO16/ABS(SUM(R16:T16)),"")</f>
        <v>0.113</v>
      </c>
      <c r="AT16" s="29"/>
      <c r="AU16" s="34">
        <f>IFERROR(U16/$U$17,0)</f>
        <v>0.05</v>
      </c>
      <c r="AV16" s="34">
        <f>IFERROR(AH16/$AH$17,0)</f>
        <v>4.8899433241070253E-2</v>
      </c>
      <c r="AW16" s="35">
        <f>(AV16-AU16)*100</f>
        <v>-0.11005667589297496</v>
      </c>
    </row>
    <row r="17" spans="2:49" x14ac:dyDescent="0.4">
      <c r="B17" s="36" t="s">
        <v>70</v>
      </c>
      <c r="C17" s="36"/>
      <c r="D17" s="36" t="s">
        <v>65</v>
      </c>
      <c r="E17" s="36"/>
      <c r="F17" s="36"/>
      <c r="G17" s="77"/>
      <c r="H17" s="36"/>
      <c r="I17" s="37">
        <f t="shared" ref="I17:T17" si="1">SUM(I14:I16)</f>
        <v>800000000</v>
      </c>
      <c r="J17" s="37">
        <f t="shared" si="1"/>
        <v>850000000</v>
      </c>
      <c r="K17" s="37">
        <f t="shared" si="1"/>
        <v>950000000</v>
      </c>
      <c r="L17" s="37">
        <f t="shared" si="1"/>
        <v>950000000</v>
      </c>
      <c r="M17" s="37">
        <f t="shared" si="1"/>
        <v>1000000000</v>
      </c>
      <c r="N17" s="37">
        <f t="shared" si="1"/>
        <v>1000000000</v>
      </c>
      <c r="O17" s="37">
        <f t="shared" si="1"/>
        <v>1000000000</v>
      </c>
      <c r="P17" s="37">
        <f t="shared" si="1"/>
        <v>1050000000</v>
      </c>
      <c r="Q17" s="37">
        <f t="shared" si="1"/>
        <v>1000000000</v>
      </c>
      <c r="R17" s="37">
        <f t="shared" si="1"/>
        <v>1050000000</v>
      </c>
      <c r="S17" s="37">
        <f t="shared" si="1"/>
        <v>1150000000</v>
      </c>
      <c r="T17" s="37">
        <f t="shared" si="1"/>
        <v>1200000000</v>
      </c>
      <c r="U17" s="37">
        <f>SUM(I17:T17)</f>
        <v>12000000000</v>
      </c>
      <c r="V17" s="37">
        <f t="shared" ref="V17:AG17" si="2">SUM(V14:V16)</f>
        <v>910440000</v>
      </c>
      <c r="W17" s="37">
        <f t="shared" si="2"/>
        <v>967342500</v>
      </c>
      <c r="X17" s="37">
        <f t="shared" si="2"/>
        <v>1081147500</v>
      </c>
      <c r="Y17" s="37">
        <f t="shared" si="2"/>
        <v>1081147500</v>
      </c>
      <c r="Z17" s="37">
        <f t="shared" si="2"/>
        <v>1138050000</v>
      </c>
      <c r="AA17" s="37">
        <f t="shared" si="2"/>
        <v>1138050000</v>
      </c>
      <c r="AB17" s="37">
        <f t="shared" si="2"/>
        <v>1138050000</v>
      </c>
      <c r="AC17" s="37">
        <f t="shared" si="2"/>
        <v>1194952500</v>
      </c>
      <c r="AD17" s="37">
        <f t="shared" si="2"/>
        <v>1138050000</v>
      </c>
      <c r="AE17" s="37">
        <f t="shared" si="2"/>
        <v>1194952500</v>
      </c>
      <c r="AF17" s="37">
        <f t="shared" si="2"/>
        <v>1308757500</v>
      </c>
      <c r="AG17" s="37">
        <f t="shared" si="2"/>
        <v>1365660000</v>
      </c>
      <c r="AH17" s="37">
        <f>SUM(V17:AG17)</f>
        <v>13656600000</v>
      </c>
      <c r="AI17" s="9"/>
      <c r="AJ17" s="23">
        <f>AH17-U17</f>
        <v>1656600000</v>
      </c>
      <c r="AK17" s="24">
        <f>IFERROR(AJ17/ABS(U17),"")</f>
        <v>0.13805000000000001</v>
      </c>
      <c r="AL17" s="23">
        <f>SUM(V17:X17)-SUM(I17:K17)</f>
        <v>358930000</v>
      </c>
      <c r="AM17" s="23">
        <f>SUM(Y17:AA17)-SUM(L17:N17)</f>
        <v>407247500</v>
      </c>
      <c r="AN17" s="23">
        <f>SUM(AB17:AD17)-SUM(O17:Q17)</f>
        <v>421052500</v>
      </c>
      <c r="AO17" s="23">
        <f>SUM(AE17:AG17)-SUM(R17:T17)</f>
        <v>469370000</v>
      </c>
      <c r="AP17" s="24">
        <f>IFERROR(AL17/ABS(SUM(I17:K17)),"")</f>
        <v>0.13805000000000001</v>
      </c>
      <c r="AQ17" s="24">
        <f>IFERROR(AM17/ABS(SUM(L17:N17)),"")</f>
        <v>0.13805000000000001</v>
      </c>
      <c r="AR17" s="24">
        <f>IFERROR(AN17/ABS(SUM(O17:Q17)),"")</f>
        <v>0.13805000000000001</v>
      </c>
      <c r="AS17" s="24">
        <f>IFERROR(AO17/ABS(SUM(R17:T17)),"")</f>
        <v>0.13805000000000001</v>
      </c>
      <c r="AT17" s="9"/>
      <c r="AU17" s="25">
        <f>IFERROR(U17/$U$17,0)</f>
        <v>1</v>
      </c>
      <c r="AV17" s="25">
        <f>IFERROR(AH17/$AH$17,0)</f>
        <v>1</v>
      </c>
      <c r="AW17" s="26">
        <f>(AV17-AU17)*100</f>
        <v>0</v>
      </c>
    </row>
    <row r="18" spans="2:49" x14ac:dyDescent="0.4">
      <c r="B18" s="5" t="s">
        <v>71</v>
      </c>
      <c r="G18" s="74"/>
      <c r="U18" s="4"/>
      <c r="AH18" s="4"/>
    </row>
    <row r="19" spans="2:49" x14ac:dyDescent="0.4">
      <c r="B19" s="15" t="s">
        <v>72</v>
      </c>
      <c r="C19" s="16" t="s">
        <v>73</v>
      </c>
      <c r="D19" s="16" t="s">
        <v>74</v>
      </c>
      <c r="E19" s="16" t="s">
        <v>75</v>
      </c>
      <c r="F19" s="16" t="s">
        <v>76</v>
      </c>
      <c r="G19" s="75">
        <v>0.1183</v>
      </c>
      <c r="H19" s="7"/>
      <c r="I19" s="17">
        <v>466700000</v>
      </c>
      <c r="J19" s="17">
        <v>495800000</v>
      </c>
      <c r="K19" s="17">
        <v>554200000</v>
      </c>
      <c r="L19" s="17">
        <v>554200000</v>
      </c>
      <c r="M19" s="17">
        <v>583300000</v>
      </c>
      <c r="N19" s="17">
        <v>583300000</v>
      </c>
      <c r="O19" s="17">
        <v>583300000</v>
      </c>
      <c r="P19" s="17">
        <v>612500000</v>
      </c>
      <c r="Q19" s="17">
        <v>583300000</v>
      </c>
      <c r="R19" s="17">
        <v>612500000</v>
      </c>
      <c r="S19" s="17">
        <v>670800000</v>
      </c>
      <c r="T19" s="17">
        <v>700100000</v>
      </c>
      <c r="U19" s="84">
        <f>SUM(I19:T19)</f>
        <v>7000000000</v>
      </c>
      <c r="V19" s="18">
        <f t="shared" ref="V19:AG21" si="3">I19*(1+$G19)</f>
        <v>521910610.00000006</v>
      </c>
      <c r="W19" s="18">
        <f t="shared" si="3"/>
        <v>554453140</v>
      </c>
      <c r="X19" s="18">
        <f t="shared" si="3"/>
        <v>619761860</v>
      </c>
      <c r="Y19" s="18">
        <f t="shared" si="3"/>
        <v>619761860</v>
      </c>
      <c r="Z19" s="18">
        <f t="shared" si="3"/>
        <v>652304390</v>
      </c>
      <c r="AA19" s="18">
        <f t="shared" si="3"/>
        <v>652304390</v>
      </c>
      <c r="AB19" s="18">
        <f t="shared" si="3"/>
        <v>652304390</v>
      </c>
      <c r="AC19" s="18">
        <f t="shared" si="3"/>
        <v>684958750</v>
      </c>
      <c r="AD19" s="18">
        <f t="shared" si="3"/>
        <v>652304390</v>
      </c>
      <c r="AE19" s="18">
        <f t="shared" si="3"/>
        <v>684958750</v>
      </c>
      <c r="AF19" s="18">
        <f t="shared" si="3"/>
        <v>750155640</v>
      </c>
      <c r="AG19" s="18">
        <f t="shared" si="3"/>
        <v>782921830</v>
      </c>
      <c r="AH19" s="84">
        <f>SUM(V19:AG19)</f>
        <v>7828100000</v>
      </c>
      <c r="AI19" s="7"/>
      <c r="AJ19" s="19">
        <f>AH19-U19</f>
        <v>828100000</v>
      </c>
      <c r="AK19" s="20">
        <f>IFERROR(AJ19/ABS(U19),"")</f>
        <v>0.1183</v>
      </c>
      <c r="AL19" s="19">
        <f>SUM(V19:X19)-SUM(I19:K19)</f>
        <v>179425610</v>
      </c>
      <c r="AM19" s="19">
        <f>SUM(Y19:AA19)-SUM(L19:N19)</f>
        <v>203570640</v>
      </c>
      <c r="AN19" s="19">
        <f>SUM(AB19:AD19)-SUM(O19:Q19)</f>
        <v>210467530</v>
      </c>
      <c r="AO19" s="19">
        <f>SUM(AE19:AG19)-SUM(R19:T19)</f>
        <v>234636220</v>
      </c>
      <c r="AP19" s="20">
        <f>IFERROR(AL19/ABS(SUM(I19:K19)),"")</f>
        <v>0.1183</v>
      </c>
      <c r="AQ19" s="20">
        <f>IFERROR(AM19/ABS(SUM(L19:N19)),"")</f>
        <v>0.1183</v>
      </c>
      <c r="AR19" s="20">
        <f>IFERROR(AN19/ABS(SUM(O19:Q19)),"")</f>
        <v>0.1183</v>
      </c>
      <c r="AS19" s="20">
        <f>IFERROR(AO19/ABS(SUM(R19:T19)),"")</f>
        <v>0.1183</v>
      </c>
      <c r="AT19" s="7"/>
      <c r="AU19" s="21">
        <f>IFERROR(U19/$U$17,0)</f>
        <v>0.58333333333333337</v>
      </c>
      <c r="AV19" s="21">
        <f>IFERROR(AH19/$AH$17,0)</f>
        <v>0.57321002299254575</v>
      </c>
      <c r="AW19" s="22">
        <f>(AV19-AU19)*100</f>
        <v>-1.0123310340787617</v>
      </c>
    </row>
    <row r="20" spans="2:49" x14ac:dyDescent="0.4">
      <c r="B20" s="27" t="s">
        <v>77</v>
      </c>
      <c r="C20" s="28" t="s">
        <v>73</v>
      </c>
      <c r="D20" s="28" t="s">
        <v>74</v>
      </c>
      <c r="E20" s="28" t="s">
        <v>75</v>
      </c>
      <c r="F20" s="28" t="s">
        <v>76</v>
      </c>
      <c r="G20" s="76">
        <v>0.1183</v>
      </c>
      <c r="H20" s="29"/>
      <c r="I20" s="30">
        <v>32000000</v>
      </c>
      <c r="J20" s="30">
        <v>34000000</v>
      </c>
      <c r="K20" s="30">
        <v>38000000</v>
      </c>
      <c r="L20" s="30">
        <v>38000000</v>
      </c>
      <c r="M20" s="30">
        <v>40000000</v>
      </c>
      <c r="N20" s="30">
        <v>40000000</v>
      </c>
      <c r="O20" s="30">
        <v>40000000</v>
      </c>
      <c r="P20" s="30">
        <v>42000000</v>
      </c>
      <c r="Q20" s="30">
        <v>40000000</v>
      </c>
      <c r="R20" s="30">
        <v>42000000</v>
      </c>
      <c r="S20" s="30">
        <v>46000000</v>
      </c>
      <c r="T20" s="30">
        <v>48000000</v>
      </c>
      <c r="U20" s="39">
        <f>SUM(I20:T20)</f>
        <v>480000000</v>
      </c>
      <c r="V20" s="31">
        <f t="shared" si="3"/>
        <v>35785600</v>
      </c>
      <c r="W20" s="31">
        <f t="shared" si="3"/>
        <v>38022200</v>
      </c>
      <c r="X20" s="31">
        <f t="shared" si="3"/>
        <v>42495400</v>
      </c>
      <c r="Y20" s="31">
        <f t="shared" si="3"/>
        <v>42495400</v>
      </c>
      <c r="Z20" s="31">
        <f t="shared" si="3"/>
        <v>44732000</v>
      </c>
      <c r="AA20" s="31">
        <f t="shared" si="3"/>
        <v>44732000</v>
      </c>
      <c r="AB20" s="31">
        <f t="shared" si="3"/>
        <v>44732000</v>
      </c>
      <c r="AC20" s="31">
        <f t="shared" si="3"/>
        <v>46968600</v>
      </c>
      <c r="AD20" s="31">
        <f t="shared" si="3"/>
        <v>44732000</v>
      </c>
      <c r="AE20" s="31">
        <f t="shared" si="3"/>
        <v>46968600</v>
      </c>
      <c r="AF20" s="31">
        <f t="shared" si="3"/>
        <v>51441800</v>
      </c>
      <c r="AG20" s="31">
        <f t="shared" si="3"/>
        <v>53678400</v>
      </c>
      <c r="AH20" s="39">
        <f>SUM(V20:AG20)</f>
        <v>536784000</v>
      </c>
      <c r="AI20" s="29"/>
      <c r="AJ20" s="32">
        <f>AH20-U20</f>
        <v>56784000</v>
      </c>
      <c r="AK20" s="33">
        <f>IFERROR(AJ20/ABS(U20),"")</f>
        <v>0.1183</v>
      </c>
      <c r="AL20" s="32">
        <f>SUM(V20:X20)-SUM(I20:K20)</f>
        <v>12303200</v>
      </c>
      <c r="AM20" s="32">
        <f>SUM(Y20:AA20)-SUM(L20:N20)</f>
        <v>13959400</v>
      </c>
      <c r="AN20" s="32">
        <f>SUM(AB20:AD20)-SUM(O20:Q20)</f>
        <v>14432600</v>
      </c>
      <c r="AO20" s="32">
        <f>SUM(AE20:AG20)-SUM(R20:T20)</f>
        <v>16088800</v>
      </c>
      <c r="AP20" s="33">
        <f>IFERROR(AL20/ABS(SUM(I20:K20)),"")</f>
        <v>0.1183</v>
      </c>
      <c r="AQ20" s="33">
        <f>IFERROR(AM20/ABS(SUM(L20:N20)),"")</f>
        <v>0.1183</v>
      </c>
      <c r="AR20" s="33">
        <f>IFERROR(AN20/ABS(SUM(O20:Q20)),"")</f>
        <v>0.1183</v>
      </c>
      <c r="AS20" s="33">
        <f>IFERROR(AO20/ABS(SUM(R20:T20)),"")</f>
        <v>0.1183</v>
      </c>
      <c r="AT20" s="29"/>
      <c r="AU20" s="34">
        <f>IFERROR(U20/$U$17,0)</f>
        <v>0.04</v>
      </c>
      <c r="AV20" s="34">
        <f>IFERROR(AH20/$AH$17,0)</f>
        <v>3.9305830148060279E-2</v>
      </c>
      <c r="AW20" s="35">
        <f>(AV20-AU20)*100</f>
        <v>-6.9416985193972158E-2</v>
      </c>
    </row>
    <row r="21" spans="2:49" x14ac:dyDescent="0.4">
      <c r="B21" s="27" t="s">
        <v>78</v>
      </c>
      <c r="C21" s="28" t="s">
        <v>73</v>
      </c>
      <c r="D21" s="28" t="s">
        <v>74</v>
      </c>
      <c r="E21" s="28" t="s">
        <v>75</v>
      </c>
      <c r="F21" s="28" t="s">
        <v>76</v>
      </c>
      <c r="G21" s="76">
        <v>0.1183</v>
      </c>
      <c r="H21" s="29"/>
      <c r="I21" s="30">
        <v>10000000</v>
      </c>
      <c r="J21" s="30">
        <v>10600000</v>
      </c>
      <c r="K21" s="30">
        <v>11900000</v>
      </c>
      <c r="L21" s="30">
        <v>11900000</v>
      </c>
      <c r="M21" s="30">
        <v>12500000</v>
      </c>
      <c r="N21" s="30">
        <v>12500000</v>
      </c>
      <c r="O21" s="30">
        <v>12500000</v>
      </c>
      <c r="P21" s="30">
        <v>13100000</v>
      </c>
      <c r="Q21" s="30">
        <v>12500000</v>
      </c>
      <c r="R21" s="30">
        <v>13100000</v>
      </c>
      <c r="S21" s="30">
        <v>14400000</v>
      </c>
      <c r="T21" s="30">
        <v>15000000</v>
      </c>
      <c r="U21" s="39">
        <f>SUM(I21:T21)</f>
        <v>150000000</v>
      </c>
      <c r="V21" s="31">
        <f t="shared" si="3"/>
        <v>11183000</v>
      </c>
      <c r="W21" s="31">
        <f t="shared" si="3"/>
        <v>11853980</v>
      </c>
      <c r="X21" s="31">
        <f t="shared" si="3"/>
        <v>13307770</v>
      </c>
      <c r="Y21" s="31">
        <f t="shared" si="3"/>
        <v>13307770</v>
      </c>
      <c r="Z21" s="31">
        <f t="shared" si="3"/>
        <v>13978750</v>
      </c>
      <c r="AA21" s="31">
        <f t="shared" si="3"/>
        <v>13978750</v>
      </c>
      <c r="AB21" s="31">
        <f t="shared" si="3"/>
        <v>13978750</v>
      </c>
      <c r="AC21" s="31">
        <f t="shared" si="3"/>
        <v>14649730.000000002</v>
      </c>
      <c r="AD21" s="31">
        <f t="shared" si="3"/>
        <v>13978750</v>
      </c>
      <c r="AE21" s="31">
        <f t="shared" si="3"/>
        <v>14649730.000000002</v>
      </c>
      <c r="AF21" s="31">
        <f t="shared" si="3"/>
        <v>16103520.000000002</v>
      </c>
      <c r="AG21" s="31">
        <f t="shared" si="3"/>
        <v>16774500.000000002</v>
      </c>
      <c r="AH21" s="39">
        <f>SUM(V21:AG21)</f>
        <v>167745000</v>
      </c>
      <c r="AI21" s="29"/>
      <c r="AJ21" s="32">
        <f>AH21-U21</f>
        <v>17745000</v>
      </c>
      <c r="AK21" s="33">
        <f>IFERROR(AJ21/ABS(U21),"")</f>
        <v>0.1183</v>
      </c>
      <c r="AL21" s="32">
        <f>SUM(V21:X21)-SUM(I21:K21)</f>
        <v>3844750</v>
      </c>
      <c r="AM21" s="32">
        <f>SUM(Y21:AA21)-SUM(L21:N21)</f>
        <v>4365270</v>
      </c>
      <c r="AN21" s="32">
        <f>SUM(AB21:AD21)-SUM(O21:Q21)</f>
        <v>4507230</v>
      </c>
      <c r="AO21" s="32">
        <f>SUM(AE21:AG21)-SUM(R21:T21)</f>
        <v>5027750.0000000075</v>
      </c>
      <c r="AP21" s="33">
        <f>IFERROR(AL21/ABS(SUM(I21:K21)),"")</f>
        <v>0.1183</v>
      </c>
      <c r="AQ21" s="33">
        <f>IFERROR(AM21/ABS(SUM(L21:N21)),"")</f>
        <v>0.1183</v>
      </c>
      <c r="AR21" s="33">
        <f>IFERROR(AN21/ABS(SUM(O21:Q21)),"")</f>
        <v>0.1183</v>
      </c>
      <c r="AS21" s="33">
        <f>IFERROR(AO21/ABS(SUM(R21:T21)),"")</f>
        <v>0.11830000000000017</v>
      </c>
      <c r="AT21" s="29"/>
      <c r="AU21" s="34">
        <f>IFERROR(U21/$U$17,0)</f>
        <v>1.2500000000000001E-2</v>
      </c>
      <c r="AV21" s="34">
        <f>IFERROR(AH21/$AH$17,0)</f>
        <v>1.2283071921268837E-2</v>
      </c>
      <c r="AW21" s="35">
        <f>(AV21-AU21)*100</f>
        <v>-2.1692807873116386E-2</v>
      </c>
    </row>
    <row r="22" spans="2:49" x14ac:dyDescent="0.4">
      <c r="B22" s="38" t="s">
        <v>79</v>
      </c>
      <c r="C22" s="38"/>
      <c r="D22" s="38" t="s">
        <v>74</v>
      </c>
      <c r="E22" s="38"/>
      <c r="F22" s="38"/>
      <c r="G22" s="78"/>
      <c r="H22" s="38"/>
      <c r="I22" s="39">
        <f t="shared" ref="I22:T22" si="4">SUM(I19:I21)</f>
        <v>508700000</v>
      </c>
      <c r="J22" s="39">
        <f t="shared" si="4"/>
        <v>540400000</v>
      </c>
      <c r="K22" s="39">
        <f t="shared" si="4"/>
        <v>604100000</v>
      </c>
      <c r="L22" s="39">
        <f t="shared" si="4"/>
        <v>604100000</v>
      </c>
      <c r="M22" s="39">
        <f t="shared" si="4"/>
        <v>635800000</v>
      </c>
      <c r="N22" s="39">
        <f t="shared" si="4"/>
        <v>635800000</v>
      </c>
      <c r="O22" s="39">
        <f t="shared" si="4"/>
        <v>635800000</v>
      </c>
      <c r="P22" s="39">
        <f t="shared" si="4"/>
        <v>667600000</v>
      </c>
      <c r="Q22" s="39">
        <f t="shared" si="4"/>
        <v>635800000</v>
      </c>
      <c r="R22" s="39">
        <f t="shared" si="4"/>
        <v>667600000</v>
      </c>
      <c r="S22" s="39">
        <f t="shared" si="4"/>
        <v>731200000</v>
      </c>
      <c r="T22" s="39">
        <f t="shared" si="4"/>
        <v>763100000</v>
      </c>
      <c r="U22" s="39">
        <f>SUM(I22:T22)</f>
        <v>7630000000</v>
      </c>
      <c r="V22" s="39">
        <f t="shared" ref="V22:AG22" si="5">SUM(V19:V21)</f>
        <v>568879210</v>
      </c>
      <c r="W22" s="39">
        <f t="shared" si="5"/>
        <v>604329320</v>
      </c>
      <c r="X22" s="39">
        <f t="shared" si="5"/>
        <v>675565030</v>
      </c>
      <c r="Y22" s="39">
        <f t="shared" si="5"/>
        <v>675565030</v>
      </c>
      <c r="Z22" s="39">
        <f t="shared" si="5"/>
        <v>711015140</v>
      </c>
      <c r="AA22" s="39">
        <f t="shared" si="5"/>
        <v>711015140</v>
      </c>
      <c r="AB22" s="39">
        <f t="shared" si="5"/>
        <v>711015140</v>
      </c>
      <c r="AC22" s="39">
        <f t="shared" si="5"/>
        <v>746577080</v>
      </c>
      <c r="AD22" s="39">
        <f t="shared" si="5"/>
        <v>711015140</v>
      </c>
      <c r="AE22" s="39">
        <f t="shared" si="5"/>
        <v>746577080</v>
      </c>
      <c r="AF22" s="39">
        <f t="shared" si="5"/>
        <v>817700960</v>
      </c>
      <c r="AG22" s="39">
        <f t="shared" si="5"/>
        <v>853374730</v>
      </c>
      <c r="AH22" s="39">
        <f>SUM(V22:AG22)</f>
        <v>8532629000</v>
      </c>
      <c r="AI22" s="29"/>
      <c r="AJ22" s="32">
        <f>AH22-U22</f>
        <v>902629000</v>
      </c>
      <c r="AK22" s="33">
        <f>IFERROR(AJ22/ABS(U22),"")</f>
        <v>0.1183</v>
      </c>
      <c r="AL22" s="32">
        <f>SUM(V22:X22)-SUM(I22:K22)</f>
        <v>195573560</v>
      </c>
      <c r="AM22" s="32">
        <f>SUM(Y22:AA22)-SUM(L22:N22)</f>
        <v>221895310</v>
      </c>
      <c r="AN22" s="32">
        <f>SUM(AB22:AD22)-SUM(O22:Q22)</f>
        <v>229407360</v>
      </c>
      <c r="AO22" s="32">
        <f>SUM(AE22:AG22)-SUM(R22:T22)</f>
        <v>255752770</v>
      </c>
      <c r="AP22" s="33">
        <f>IFERROR(AL22/ABS(SUM(I22:K22)),"")</f>
        <v>0.1183</v>
      </c>
      <c r="AQ22" s="33">
        <f>IFERROR(AM22/ABS(SUM(L22:N22)),"")</f>
        <v>0.1183</v>
      </c>
      <c r="AR22" s="33">
        <f>IFERROR(AN22/ABS(SUM(O22:Q22)),"")</f>
        <v>0.1183</v>
      </c>
      <c r="AS22" s="33">
        <f>IFERROR(AO22/ABS(SUM(R22:T22)),"")</f>
        <v>0.1183</v>
      </c>
      <c r="AT22" s="29"/>
      <c r="AU22" s="34">
        <f>IFERROR(U22/$U$17,0)</f>
        <v>0.63583333333333336</v>
      </c>
      <c r="AV22" s="34">
        <f>IFERROR(AH22/$AH$17,0)</f>
        <v>0.62479892506187484</v>
      </c>
      <c r="AW22" s="35">
        <f>(AV22-AU22)*100</f>
        <v>-1.1034408271458518</v>
      </c>
    </row>
    <row r="23" spans="2:49" x14ac:dyDescent="0.4">
      <c r="B23" s="40" t="s">
        <v>80</v>
      </c>
      <c r="C23" s="40"/>
      <c r="D23" s="40" t="s">
        <v>81</v>
      </c>
      <c r="E23" s="40"/>
      <c r="F23" s="40"/>
      <c r="G23" s="79"/>
      <c r="H23" s="40"/>
      <c r="I23" s="42">
        <f t="shared" ref="I23:T23" si="6">I17-I22</f>
        <v>291300000</v>
      </c>
      <c r="J23" s="42">
        <f t="shared" si="6"/>
        <v>309600000</v>
      </c>
      <c r="K23" s="42">
        <f t="shared" si="6"/>
        <v>345900000</v>
      </c>
      <c r="L23" s="42">
        <f t="shared" si="6"/>
        <v>345900000</v>
      </c>
      <c r="M23" s="42">
        <f t="shared" si="6"/>
        <v>364200000</v>
      </c>
      <c r="N23" s="42">
        <f t="shared" si="6"/>
        <v>364200000</v>
      </c>
      <c r="O23" s="42">
        <f t="shared" si="6"/>
        <v>364200000</v>
      </c>
      <c r="P23" s="42">
        <f t="shared" si="6"/>
        <v>382400000</v>
      </c>
      <c r="Q23" s="42">
        <f t="shared" si="6"/>
        <v>364200000</v>
      </c>
      <c r="R23" s="42">
        <f t="shared" si="6"/>
        <v>382400000</v>
      </c>
      <c r="S23" s="42">
        <f t="shared" si="6"/>
        <v>418800000</v>
      </c>
      <c r="T23" s="42">
        <f t="shared" si="6"/>
        <v>436900000</v>
      </c>
      <c r="U23" s="42">
        <f>SUM(I23:T23)</f>
        <v>4370000000</v>
      </c>
      <c r="V23" s="42">
        <f t="shared" ref="V23:AG23" si="7">V17-V22</f>
        <v>341560790</v>
      </c>
      <c r="W23" s="42">
        <f t="shared" si="7"/>
        <v>363013180</v>
      </c>
      <c r="X23" s="42">
        <f t="shared" si="7"/>
        <v>405582470</v>
      </c>
      <c r="Y23" s="42">
        <f t="shared" si="7"/>
        <v>405582470</v>
      </c>
      <c r="Z23" s="42">
        <f t="shared" si="7"/>
        <v>427034860</v>
      </c>
      <c r="AA23" s="42">
        <f t="shared" si="7"/>
        <v>427034860</v>
      </c>
      <c r="AB23" s="42">
        <f t="shared" si="7"/>
        <v>427034860</v>
      </c>
      <c r="AC23" s="42">
        <f t="shared" si="7"/>
        <v>448375420</v>
      </c>
      <c r="AD23" s="42">
        <f t="shared" si="7"/>
        <v>427034860</v>
      </c>
      <c r="AE23" s="42">
        <f t="shared" si="7"/>
        <v>448375420</v>
      </c>
      <c r="AF23" s="42">
        <f t="shared" si="7"/>
        <v>491056540</v>
      </c>
      <c r="AG23" s="42">
        <f t="shared" si="7"/>
        <v>512285270</v>
      </c>
      <c r="AH23" s="42">
        <f>SUM(V23:AG23)</f>
        <v>5123971000</v>
      </c>
      <c r="AI23" s="41"/>
      <c r="AJ23" s="43">
        <f>AH23-U23</f>
        <v>753971000</v>
      </c>
      <c r="AK23" s="44">
        <f>IFERROR(AJ23/ABS(U23),"")</f>
        <v>0.17253340961098398</v>
      </c>
      <c r="AL23" s="43">
        <f>SUM(V23:X23)-SUM(I23:K23)</f>
        <v>163356440</v>
      </c>
      <c r="AM23" s="43">
        <f>SUM(Y23:AA23)-SUM(L23:N23)</f>
        <v>185352190</v>
      </c>
      <c r="AN23" s="43">
        <f>SUM(AB23:AD23)-SUM(O23:Q23)</f>
        <v>191645140</v>
      </c>
      <c r="AO23" s="43">
        <f>SUM(AE23:AG23)-SUM(R23:T23)</f>
        <v>213617230</v>
      </c>
      <c r="AP23" s="44">
        <f>IFERROR(AL23/ABS(SUM(I23:K23)),"")</f>
        <v>0.17253531896915927</v>
      </c>
      <c r="AQ23" s="44">
        <f>IFERROR(AM23/ABS(SUM(L23:N23)),"")</f>
        <v>0.17253298892301963</v>
      </c>
      <c r="AR23" s="44">
        <f>IFERROR(AN23/ABS(SUM(O23:Q23)),"")</f>
        <v>0.17252893410154843</v>
      </c>
      <c r="AS23" s="44">
        <f>IFERROR(AO23/ABS(SUM(R23:T23)),"")</f>
        <v>0.17253632986026976</v>
      </c>
      <c r="AT23" s="41"/>
      <c r="AU23" s="45">
        <f>IFERROR(U23/$U$17,0)</f>
        <v>0.36416666666666669</v>
      </c>
      <c r="AV23" s="45">
        <f>IFERROR(AH23/$AH$17,0)</f>
        <v>0.37520107493812516</v>
      </c>
      <c r="AW23" s="46">
        <f>(AV23-AU23)*100</f>
        <v>1.1034408271458462</v>
      </c>
    </row>
    <row r="24" spans="2:49" x14ac:dyDescent="0.4">
      <c r="B24" s="50" t="s">
        <v>82</v>
      </c>
      <c r="C24" s="47"/>
      <c r="D24" s="47" t="s">
        <v>83</v>
      </c>
      <c r="E24" s="47"/>
      <c r="F24" s="47"/>
      <c r="G24" s="80"/>
      <c r="H24" s="47"/>
      <c r="I24" s="48">
        <f t="shared" ref="I24:AH24" si="8">IFERROR(I23/I17,0)</f>
        <v>0.36412499999999998</v>
      </c>
      <c r="J24" s="48">
        <f t="shared" si="8"/>
        <v>0.36423529411764705</v>
      </c>
      <c r="K24" s="48">
        <f t="shared" si="8"/>
        <v>0.36410526315789471</v>
      </c>
      <c r="L24" s="48">
        <f t="shared" si="8"/>
        <v>0.36410526315789471</v>
      </c>
      <c r="M24" s="48">
        <f t="shared" si="8"/>
        <v>0.36420000000000002</v>
      </c>
      <c r="N24" s="48">
        <f t="shared" si="8"/>
        <v>0.36420000000000002</v>
      </c>
      <c r="O24" s="48">
        <f t="shared" si="8"/>
        <v>0.36420000000000002</v>
      </c>
      <c r="P24" s="48">
        <f t="shared" si="8"/>
        <v>0.36419047619047618</v>
      </c>
      <c r="Q24" s="48">
        <f t="shared" si="8"/>
        <v>0.36420000000000002</v>
      </c>
      <c r="R24" s="48">
        <f t="shared" si="8"/>
        <v>0.36419047619047618</v>
      </c>
      <c r="S24" s="48">
        <f t="shared" si="8"/>
        <v>0.36417391304347824</v>
      </c>
      <c r="T24" s="48">
        <f t="shared" si="8"/>
        <v>0.36408333333333331</v>
      </c>
      <c r="U24" s="85">
        <f t="shared" si="8"/>
        <v>0.36416666666666669</v>
      </c>
      <c r="V24" s="48">
        <f t="shared" si="8"/>
        <v>0.37516013136505427</v>
      </c>
      <c r="W24" s="48">
        <f t="shared" si="8"/>
        <v>0.37526851141141837</v>
      </c>
      <c r="X24" s="48">
        <f t="shared" si="8"/>
        <v>0.37514073704096806</v>
      </c>
      <c r="Y24" s="48">
        <f t="shared" si="8"/>
        <v>0.37514073704096806</v>
      </c>
      <c r="Z24" s="48">
        <f t="shared" si="8"/>
        <v>0.37523382979658187</v>
      </c>
      <c r="AA24" s="48">
        <f t="shared" si="8"/>
        <v>0.37523382979658187</v>
      </c>
      <c r="AB24" s="48">
        <f t="shared" si="8"/>
        <v>0.37523382979658187</v>
      </c>
      <c r="AC24" s="48">
        <f t="shared" si="8"/>
        <v>0.37522447126559422</v>
      </c>
      <c r="AD24" s="48">
        <f t="shared" si="8"/>
        <v>0.37523382979658187</v>
      </c>
      <c r="AE24" s="48">
        <f t="shared" si="8"/>
        <v>0.37522447126559422</v>
      </c>
      <c r="AF24" s="48">
        <f t="shared" si="8"/>
        <v>0.37520819555952878</v>
      </c>
      <c r="AG24" s="48">
        <f t="shared" si="8"/>
        <v>0.37511918779198339</v>
      </c>
      <c r="AH24" s="85">
        <f t="shared" si="8"/>
        <v>0.37520107493812516</v>
      </c>
      <c r="AI24" s="47"/>
      <c r="AJ24" s="47"/>
      <c r="AK24" s="49">
        <f>(AH24-U24)*100</f>
        <v>1.1034408271458462</v>
      </c>
      <c r="AL24" s="49"/>
      <c r="AM24" s="49"/>
      <c r="AN24" s="49"/>
      <c r="AO24" s="49"/>
      <c r="AP24" s="49">
        <f>(IFERROR(SUM(V23:X23)/SUM(V17:X17),0)-IFERROR(SUM(I23:K23)/SUM(I17:K17),0))*100</f>
        <v>1.1034630761795616</v>
      </c>
      <c r="AQ24" s="49">
        <f>(IFERROR(SUM(Y23:AA23)/SUM(Y17:AA17),0)-IFERROR(SUM(L23:N23)/SUM(L17:N17),0))*100</f>
        <v>1.1034359248163872</v>
      </c>
      <c r="AR24" s="49">
        <f>(IFERROR(SUM(AB23:AD23)/SUM(AB17:AD17),0)-IFERROR(SUM(O23:Q23)/SUM(O17:Q17),0))*100</f>
        <v>1.1033886695750061</v>
      </c>
      <c r="AS24" s="49">
        <f>(IFERROR(SUM(AE23:AG23)/SUM(AE17:AG17),0)-IFERROR(SUM(R23:T23)/SUM(R17:T17),0))*100</f>
        <v>1.1034748550797668</v>
      </c>
      <c r="AT24" s="47"/>
      <c r="AU24" s="47"/>
      <c r="AV24" s="47"/>
      <c r="AW24" s="47"/>
    </row>
    <row r="25" spans="2:49" x14ac:dyDescent="0.4">
      <c r="G25" s="74"/>
      <c r="U25" s="4"/>
      <c r="AH25" s="4"/>
    </row>
    <row r="26" spans="2:49" x14ac:dyDescent="0.4">
      <c r="B26" s="5" t="s">
        <v>84</v>
      </c>
      <c r="G26" s="74"/>
      <c r="U26" s="4"/>
      <c r="AH26" s="4"/>
    </row>
    <row r="27" spans="2:49" x14ac:dyDescent="0.4">
      <c r="B27" s="15" t="s">
        <v>85</v>
      </c>
      <c r="C27" s="16" t="s">
        <v>86</v>
      </c>
      <c r="D27" s="16" t="s">
        <v>87</v>
      </c>
      <c r="E27" s="16" t="s">
        <v>88</v>
      </c>
      <c r="F27" s="16" t="s">
        <v>89</v>
      </c>
      <c r="G27" s="75">
        <f>pSalario</f>
        <v>7.0000000000000007E-2</v>
      </c>
      <c r="H27" s="7"/>
      <c r="I27" s="17">
        <v>50000000</v>
      </c>
      <c r="J27" s="17">
        <v>50000000</v>
      </c>
      <c r="K27" s="17">
        <v>50000000</v>
      </c>
      <c r="L27" s="17">
        <v>50000000</v>
      </c>
      <c r="M27" s="17">
        <v>50000000</v>
      </c>
      <c r="N27" s="17">
        <v>50000000</v>
      </c>
      <c r="O27" s="17">
        <v>50000000</v>
      </c>
      <c r="P27" s="17">
        <v>50000000</v>
      </c>
      <c r="Q27" s="17">
        <v>50000000</v>
      </c>
      <c r="R27" s="17">
        <v>50000000</v>
      </c>
      <c r="S27" s="17">
        <v>50000000</v>
      </c>
      <c r="T27" s="17">
        <v>50000000</v>
      </c>
      <c r="U27" s="84">
        <f t="shared" ref="U27:U33" si="9">SUM(I27:T27)</f>
        <v>600000000</v>
      </c>
      <c r="V27" s="18">
        <f t="shared" ref="V27:AG32" si="10">I27*(1+$G27)</f>
        <v>53500000</v>
      </c>
      <c r="W27" s="18">
        <f t="shared" si="10"/>
        <v>53500000</v>
      </c>
      <c r="X27" s="18">
        <f t="shared" si="10"/>
        <v>53500000</v>
      </c>
      <c r="Y27" s="18">
        <f t="shared" si="10"/>
        <v>53500000</v>
      </c>
      <c r="Z27" s="18">
        <f t="shared" si="10"/>
        <v>53500000</v>
      </c>
      <c r="AA27" s="18">
        <f t="shared" si="10"/>
        <v>53500000</v>
      </c>
      <c r="AB27" s="18">
        <f t="shared" si="10"/>
        <v>53500000</v>
      </c>
      <c r="AC27" s="18">
        <f t="shared" si="10"/>
        <v>53500000</v>
      </c>
      <c r="AD27" s="18">
        <f t="shared" si="10"/>
        <v>53500000</v>
      </c>
      <c r="AE27" s="18">
        <f t="shared" si="10"/>
        <v>53500000</v>
      </c>
      <c r="AF27" s="18">
        <f t="shared" si="10"/>
        <v>53500000</v>
      </c>
      <c r="AG27" s="18">
        <f t="shared" si="10"/>
        <v>53500000</v>
      </c>
      <c r="AH27" s="84">
        <f t="shared" ref="AH27:AH33" si="11">SUM(V27:AG27)</f>
        <v>642000000</v>
      </c>
      <c r="AI27" s="7"/>
      <c r="AJ27" s="19">
        <f t="shared" ref="AJ27:AJ33" si="12">AH27-U27</f>
        <v>42000000</v>
      </c>
      <c r="AK27" s="20">
        <f t="shared" ref="AK27:AK33" si="13">IFERROR(AJ27/ABS(U27),"")</f>
        <v>7.0000000000000007E-2</v>
      </c>
      <c r="AL27" s="19">
        <f t="shared" ref="AL27:AL33" si="14">SUM(V27:X27)-SUM(I27:K27)</f>
        <v>10500000</v>
      </c>
      <c r="AM27" s="19">
        <f t="shared" ref="AM27:AM33" si="15">SUM(Y27:AA27)-SUM(L27:N27)</f>
        <v>10500000</v>
      </c>
      <c r="AN27" s="19">
        <f t="shared" ref="AN27:AN33" si="16">SUM(AB27:AD27)-SUM(O27:Q27)</f>
        <v>10500000</v>
      </c>
      <c r="AO27" s="19">
        <f t="shared" ref="AO27:AO33" si="17">SUM(AE27:AG27)-SUM(R27:T27)</f>
        <v>10500000</v>
      </c>
      <c r="AP27" s="20">
        <f t="shared" ref="AP27:AP33" si="18">IFERROR(AL27/ABS(SUM(I27:K27)),"")</f>
        <v>7.0000000000000007E-2</v>
      </c>
      <c r="AQ27" s="20">
        <f t="shared" ref="AQ27:AQ33" si="19">IFERROR(AM27/ABS(SUM(L27:N27)),"")</f>
        <v>7.0000000000000007E-2</v>
      </c>
      <c r="AR27" s="20">
        <f t="shared" ref="AR27:AR33" si="20">IFERROR(AN27/ABS(SUM(O27:Q27)),"")</f>
        <v>7.0000000000000007E-2</v>
      </c>
      <c r="AS27" s="20">
        <f t="shared" ref="AS27:AS33" si="21">IFERROR(AO27/ABS(SUM(R27:T27)),"")</f>
        <v>7.0000000000000007E-2</v>
      </c>
      <c r="AT27" s="7"/>
      <c r="AU27" s="21">
        <f t="shared" ref="AU27:AU33" si="22">IFERROR(U27/$U$17,0)</f>
        <v>0.05</v>
      </c>
      <c r="AV27" s="21">
        <f t="shared" ref="AV27:AV33" si="23">IFERROR(AH27/$AH$17,0)</f>
        <v>4.7010236808576071E-2</v>
      </c>
      <c r="AW27" s="22">
        <f t="shared" ref="AW27:AW33" si="24">(AV27-AU27)*100</f>
        <v>-0.2989763191423932</v>
      </c>
    </row>
    <row r="28" spans="2:49" x14ac:dyDescent="0.4">
      <c r="B28" s="27" t="s">
        <v>90</v>
      </c>
      <c r="C28" s="28" t="s">
        <v>86</v>
      </c>
      <c r="D28" s="28" t="s">
        <v>87</v>
      </c>
      <c r="E28" s="28" t="s">
        <v>88</v>
      </c>
      <c r="F28" s="28" t="s">
        <v>91</v>
      </c>
      <c r="G28" s="76">
        <f>pIPC</f>
        <v>0.04</v>
      </c>
      <c r="H28" s="29"/>
      <c r="I28" s="30">
        <v>15000000</v>
      </c>
      <c r="J28" s="30">
        <v>15000000</v>
      </c>
      <c r="K28" s="30">
        <v>15000000</v>
      </c>
      <c r="L28" s="30">
        <v>15000000</v>
      </c>
      <c r="M28" s="30">
        <v>15000000</v>
      </c>
      <c r="N28" s="30">
        <v>15000000</v>
      </c>
      <c r="O28" s="30">
        <v>15000000</v>
      </c>
      <c r="P28" s="30">
        <v>15000000</v>
      </c>
      <c r="Q28" s="30">
        <v>15000000</v>
      </c>
      <c r="R28" s="30">
        <v>15000000</v>
      </c>
      <c r="S28" s="30">
        <v>15000000</v>
      </c>
      <c r="T28" s="30">
        <v>15000000</v>
      </c>
      <c r="U28" s="39">
        <f t="shared" si="9"/>
        <v>180000000</v>
      </c>
      <c r="V28" s="31">
        <f t="shared" si="10"/>
        <v>15600000</v>
      </c>
      <c r="W28" s="31">
        <f t="shared" si="10"/>
        <v>15600000</v>
      </c>
      <c r="X28" s="31">
        <f t="shared" si="10"/>
        <v>15600000</v>
      </c>
      <c r="Y28" s="31">
        <f t="shared" si="10"/>
        <v>15600000</v>
      </c>
      <c r="Z28" s="31">
        <f t="shared" si="10"/>
        <v>15600000</v>
      </c>
      <c r="AA28" s="31">
        <f t="shared" si="10"/>
        <v>15600000</v>
      </c>
      <c r="AB28" s="31">
        <f t="shared" si="10"/>
        <v>15600000</v>
      </c>
      <c r="AC28" s="31">
        <f t="shared" si="10"/>
        <v>15600000</v>
      </c>
      <c r="AD28" s="31">
        <f t="shared" si="10"/>
        <v>15600000</v>
      </c>
      <c r="AE28" s="31">
        <f t="shared" si="10"/>
        <v>15600000</v>
      </c>
      <c r="AF28" s="31">
        <f t="shared" si="10"/>
        <v>15600000</v>
      </c>
      <c r="AG28" s="31">
        <f t="shared" si="10"/>
        <v>15600000</v>
      </c>
      <c r="AH28" s="39">
        <f t="shared" si="11"/>
        <v>187200000</v>
      </c>
      <c r="AI28" s="29"/>
      <c r="AJ28" s="32">
        <f t="shared" si="12"/>
        <v>7200000</v>
      </c>
      <c r="AK28" s="33">
        <f t="shared" si="13"/>
        <v>0.04</v>
      </c>
      <c r="AL28" s="32">
        <f t="shared" si="14"/>
        <v>1800000</v>
      </c>
      <c r="AM28" s="32">
        <f t="shared" si="15"/>
        <v>1800000</v>
      </c>
      <c r="AN28" s="32">
        <f t="shared" si="16"/>
        <v>1800000</v>
      </c>
      <c r="AO28" s="32">
        <f t="shared" si="17"/>
        <v>1800000</v>
      </c>
      <c r="AP28" s="33">
        <f t="shared" si="18"/>
        <v>0.04</v>
      </c>
      <c r="AQ28" s="33">
        <f t="shared" si="19"/>
        <v>0.04</v>
      </c>
      <c r="AR28" s="33">
        <f t="shared" si="20"/>
        <v>0.04</v>
      </c>
      <c r="AS28" s="33">
        <f t="shared" si="21"/>
        <v>0.04</v>
      </c>
      <c r="AT28" s="29"/>
      <c r="AU28" s="34">
        <f t="shared" si="22"/>
        <v>1.4999999999999999E-2</v>
      </c>
      <c r="AV28" s="34">
        <f t="shared" si="23"/>
        <v>1.3707657835771716E-2</v>
      </c>
      <c r="AW28" s="35">
        <f t="shared" si="24"/>
        <v>-0.1292342164228284</v>
      </c>
    </row>
    <row r="29" spans="2:49" x14ac:dyDescent="0.4">
      <c r="B29" s="27" t="s">
        <v>92</v>
      </c>
      <c r="C29" s="28" t="s">
        <v>86</v>
      </c>
      <c r="D29" s="28" t="s">
        <v>87</v>
      </c>
      <c r="E29" s="28" t="s">
        <v>88</v>
      </c>
      <c r="F29" s="28" t="s">
        <v>91</v>
      </c>
      <c r="G29" s="76">
        <f>pIPC</f>
        <v>0.04</v>
      </c>
      <c r="H29" s="29"/>
      <c r="I29" s="30">
        <v>7000000</v>
      </c>
      <c r="J29" s="30">
        <v>7000000</v>
      </c>
      <c r="K29" s="30">
        <v>7000000</v>
      </c>
      <c r="L29" s="30">
        <v>7000000</v>
      </c>
      <c r="M29" s="30">
        <v>7000000</v>
      </c>
      <c r="N29" s="30">
        <v>7000000</v>
      </c>
      <c r="O29" s="30">
        <v>7000000</v>
      </c>
      <c r="P29" s="30">
        <v>7000000</v>
      </c>
      <c r="Q29" s="30">
        <v>7000000</v>
      </c>
      <c r="R29" s="30">
        <v>7000000</v>
      </c>
      <c r="S29" s="30">
        <v>7000000</v>
      </c>
      <c r="T29" s="30">
        <v>7000000</v>
      </c>
      <c r="U29" s="39">
        <f t="shared" si="9"/>
        <v>84000000</v>
      </c>
      <c r="V29" s="31">
        <f t="shared" si="10"/>
        <v>7280000</v>
      </c>
      <c r="W29" s="31">
        <f t="shared" si="10"/>
        <v>7280000</v>
      </c>
      <c r="X29" s="31">
        <f t="shared" si="10"/>
        <v>7280000</v>
      </c>
      <c r="Y29" s="31">
        <f t="shared" si="10"/>
        <v>7280000</v>
      </c>
      <c r="Z29" s="31">
        <f t="shared" si="10"/>
        <v>7280000</v>
      </c>
      <c r="AA29" s="31">
        <f t="shared" si="10"/>
        <v>7280000</v>
      </c>
      <c r="AB29" s="31">
        <f t="shared" si="10"/>
        <v>7280000</v>
      </c>
      <c r="AC29" s="31">
        <f t="shared" si="10"/>
        <v>7280000</v>
      </c>
      <c r="AD29" s="31">
        <f t="shared" si="10"/>
        <v>7280000</v>
      </c>
      <c r="AE29" s="31">
        <f t="shared" si="10"/>
        <v>7280000</v>
      </c>
      <c r="AF29" s="31">
        <f t="shared" si="10"/>
        <v>7280000</v>
      </c>
      <c r="AG29" s="31">
        <f t="shared" si="10"/>
        <v>7280000</v>
      </c>
      <c r="AH29" s="39">
        <f t="shared" si="11"/>
        <v>87360000</v>
      </c>
      <c r="AI29" s="29"/>
      <c r="AJ29" s="32">
        <f t="shared" si="12"/>
        <v>3360000</v>
      </c>
      <c r="AK29" s="33">
        <f t="shared" si="13"/>
        <v>0.04</v>
      </c>
      <c r="AL29" s="32">
        <f t="shared" si="14"/>
        <v>840000</v>
      </c>
      <c r="AM29" s="32">
        <f t="shared" si="15"/>
        <v>840000</v>
      </c>
      <c r="AN29" s="32">
        <f t="shared" si="16"/>
        <v>840000</v>
      </c>
      <c r="AO29" s="32">
        <f t="shared" si="17"/>
        <v>840000</v>
      </c>
      <c r="AP29" s="33">
        <f t="shared" si="18"/>
        <v>0.04</v>
      </c>
      <c r="AQ29" s="33">
        <f t="shared" si="19"/>
        <v>0.04</v>
      </c>
      <c r="AR29" s="33">
        <f t="shared" si="20"/>
        <v>0.04</v>
      </c>
      <c r="AS29" s="33">
        <f t="shared" si="21"/>
        <v>0.04</v>
      </c>
      <c r="AT29" s="29"/>
      <c r="AU29" s="34">
        <f t="shared" si="22"/>
        <v>7.0000000000000001E-3</v>
      </c>
      <c r="AV29" s="34">
        <f t="shared" si="23"/>
        <v>6.3969069900268001E-3</v>
      </c>
      <c r="AW29" s="35">
        <f t="shared" si="24"/>
        <v>-6.0309300997320008E-2</v>
      </c>
    </row>
    <row r="30" spans="2:49" x14ac:dyDescent="0.4">
      <c r="B30" s="27" t="s">
        <v>93</v>
      </c>
      <c r="C30" s="28" t="s">
        <v>86</v>
      </c>
      <c r="D30" s="28" t="s">
        <v>87</v>
      </c>
      <c r="E30" s="28" t="s">
        <v>88</v>
      </c>
      <c r="F30" s="28" t="s">
        <v>91</v>
      </c>
      <c r="G30" s="76">
        <v>-0.22</v>
      </c>
      <c r="H30" s="29"/>
      <c r="I30" s="30">
        <v>10000000</v>
      </c>
      <c r="J30" s="30">
        <v>10000000</v>
      </c>
      <c r="K30" s="30">
        <v>10000000</v>
      </c>
      <c r="L30" s="30">
        <v>10000000</v>
      </c>
      <c r="M30" s="30">
        <v>10000000</v>
      </c>
      <c r="N30" s="30">
        <v>10000000</v>
      </c>
      <c r="O30" s="30">
        <v>10000000</v>
      </c>
      <c r="P30" s="30">
        <v>10000000</v>
      </c>
      <c r="Q30" s="30">
        <v>10000000</v>
      </c>
      <c r="R30" s="30">
        <v>10000000</v>
      </c>
      <c r="S30" s="30">
        <v>10000000</v>
      </c>
      <c r="T30" s="30">
        <v>10000000</v>
      </c>
      <c r="U30" s="39">
        <f t="shared" si="9"/>
        <v>120000000</v>
      </c>
      <c r="V30" s="31">
        <f t="shared" si="10"/>
        <v>7800000</v>
      </c>
      <c r="W30" s="31">
        <f t="shared" si="10"/>
        <v>7800000</v>
      </c>
      <c r="X30" s="31">
        <f t="shared" si="10"/>
        <v>7800000</v>
      </c>
      <c r="Y30" s="31">
        <f t="shared" si="10"/>
        <v>7800000</v>
      </c>
      <c r="Z30" s="31">
        <f t="shared" si="10"/>
        <v>7800000</v>
      </c>
      <c r="AA30" s="31">
        <f t="shared" si="10"/>
        <v>7800000</v>
      </c>
      <c r="AB30" s="31">
        <f t="shared" si="10"/>
        <v>7800000</v>
      </c>
      <c r="AC30" s="31">
        <f t="shared" si="10"/>
        <v>7800000</v>
      </c>
      <c r="AD30" s="31">
        <f t="shared" si="10"/>
        <v>7800000</v>
      </c>
      <c r="AE30" s="31">
        <f t="shared" si="10"/>
        <v>7800000</v>
      </c>
      <c r="AF30" s="31">
        <f t="shared" si="10"/>
        <v>7800000</v>
      </c>
      <c r="AG30" s="31">
        <f t="shared" si="10"/>
        <v>7800000</v>
      </c>
      <c r="AH30" s="39">
        <f t="shared" si="11"/>
        <v>93600000</v>
      </c>
      <c r="AI30" s="29"/>
      <c r="AJ30" s="32">
        <f t="shared" si="12"/>
        <v>-26400000</v>
      </c>
      <c r="AK30" s="33">
        <f t="shared" si="13"/>
        <v>-0.22</v>
      </c>
      <c r="AL30" s="32">
        <f t="shared" si="14"/>
        <v>-6600000</v>
      </c>
      <c r="AM30" s="32">
        <f t="shared" si="15"/>
        <v>-6600000</v>
      </c>
      <c r="AN30" s="32">
        <f t="shared" si="16"/>
        <v>-6600000</v>
      </c>
      <c r="AO30" s="32">
        <f t="shared" si="17"/>
        <v>-6600000</v>
      </c>
      <c r="AP30" s="33">
        <f t="shared" si="18"/>
        <v>-0.22</v>
      </c>
      <c r="AQ30" s="33">
        <f t="shared" si="19"/>
        <v>-0.22</v>
      </c>
      <c r="AR30" s="33">
        <f t="shared" si="20"/>
        <v>-0.22</v>
      </c>
      <c r="AS30" s="33">
        <f t="shared" si="21"/>
        <v>-0.22</v>
      </c>
      <c r="AT30" s="29"/>
      <c r="AU30" s="34">
        <f t="shared" si="22"/>
        <v>0.01</v>
      </c>
      <c r="AV30" s="34">
        <f t="shared" si="23"/>
        <v>6.8538289178858578E-3</v>
      </c>
      <c r="AW30" s="35">
        <f t="shared" si="24"/>
        <v>-0.31461710821141425</v>
      </c>
    </row>
    <row r="31" spans="2:49" x14ac:dyDescent="0.4">
      <c r="B31" s="27" t="s">
        <v>94</v>
      </c>
      <c r="C31" s="28" t="s">
        <v>86</v>
      </c>
      <c r="D31" s="28" t="s">
        <v>87</v>
      </c>
      <c r="E31" s="28" t="s">
        <v>88</v>
      </c>
      <c r="F31" s="28" t="s">
        <v>91</v>
      </c>
      <c r="G31" s="76">
        <f>pIPC</f>
        <v>0.04</v>
      </c>
      <c r="H31" s="29"/>
      <c r="I31" s="30">
        <v>8000000</v>
      </c>
      <c r="J31" s="30">
        <v>8000000</v>
      </c>
      <c r="K31" s="30">
        <v>8000000</v>
      </c>
      <c r="L31" s="30">
        <v>8000000</v>
      </c>
      <c r="M31" s="30">
        <v>8000000</v>
      </c>
      <c r="N31" s="30">
        <v>8000000</v>
      </c>
      <c r="O31" s="30">
        <v>8000000</v>
      </c>
      <c r="P31" s="30">
        <v>8000000</v>
      </c>
      <c r="Q31" s="30">
        <v>8000000</v>
      </c>
      <c r="R31" s="30">
        <v>8000000</v>
      </c>
      <c r="S31" s="30">
        <v>8000000</v>
      </c>
      <c r="T31" s="30">
        <v>8000000</v>
      </c>
      <c r="U31" s="39">
        <f t="shared" si="9"/>
        <v>96000000</v>
      </c>
      <c r="V31" s="31">
        <f t="shared" si="10"/>
        <v>8320000</v>
      </c>
      <c r="W31" s="31">
        <f t="shared" si="10"/>
        <v>8320000</v>
      </c>
      <c r="X31" s="31">
        <f t="shared" si="10"/>
        <v>8320000</v>
      </c>
      <c r="Y31" s="31">
        <f t="shared" si="10"/>
        <v>8320000</v>
      </c>
      <c r="Z31" s="31">
        <f t="shared" si="10"/>
        <v>8320000</v>
      </c>
      <c r="AA31" s="31">
        <f t="shared" si="10"/>
        <v>8320000</v>
      </c>
      <c r="AB31" s="31">
        <f t="shared" si="10"/>
        <v>8320000</v>
      </c>
      <c r="AC31" s="31">
        <f t="shared" si="10"/>
        <v>8320000</v>
      </c>
      <c r="AD31" s="31">
        <f t="shared" si="10"/>
        <v>8320000</v>
      </c>
      <c r="AE31" s="31">
        <f t="shared" si="10"/>
        <v>8320000</v>
      </c>
      <c r="AF31" s="31">
        <f t="shared" si="10"/>
        <v>8320000</v>
      </c>
      <c r="AG31" s="31">
        <f t="shared" si="10"/>
        <v>8320000</v>
      </c>
      <c r="AH31" s="39">
        <f t="shared" si="11"/>
        <v>99840000</v>
      </c>
      <c r="AI31" s="29"/>
      <c r="AJ31" s="32">
        <f t="shared" si="12"/>
        <v>3840000</v>
      </c>
      <c r="AK31" s="33">
        <f t="shared" si="13"/>
        <v>0.04</v>
      </c>
      <c r="AL31" s="32">
        <f t="shared" si="14"/>
        <v>960000</v>
      </c>
      <c r="AM31" s="32">
        <f t="shared" si="15"/>
        <v>960000</v>
      </c>
      <c r="AN31" s="32">
        <f t="shared" si="16"/>
        <v>960000</v>
      </c>
      <c r="AO31" s="32">
        <f t="shared" si="17"/>
        <v>960000</v>
      </c>
      <c r="AP31" s="33">
        <f t="shared" si="18"/>
        <v>0.04</v>
      </c>
      <c r="AQ31" s="33">
        <f t="shared" si="19"/>
        <v>0.04</v>
      </c>
      <c r="AR31" s="33">
        <f t="shared" si="20"/>
        <v>0.04</v>
      </c>
      <c r="AS31" s="33">
        <f t="shared" si="21"/>
        <v>0.04</v>
      </c>
      <c r="AT31" s="29"/>
      <c r="AU31" s="34">
        <f t="shared" si="22"/>
        <v>8.0000000000000002E-3</v>
      </c>
      <c r="AV31" s="34">
        <f t="shared" si="23"/>
        <v>7.3107508457449146E-3</v>
      </c>
      <c r="AW31" s="35">
        <f t="shared" si="24"/>
        <v>-6.8924915425508548E-2</v>
      </c>
    </row>
    <row r="32" spans="2:49" x14ac:dyDescent="0.4">
      <c r="B32" s="27" t="s">
        <v>95</v>
      </c>
      <c r="C32" s="28" t="s">
        <v>86</v>
      </c>
      <c r="D32" s="28" t="s">
        <v>87</v>
      </c>
      <c r="E32" s="28" t="s">
        <v>88</v>
      </c>
      <c r="F32" s="28" t="s">
        <v>96</v>
      </c>
      <c r="G32" s="76">
        <v>0</v>
      </c>
      <c r="H32" s="29"/>
      <c r="I32" s="30">
        <v>15000000</v>
      </c>
      <c r="J32" s="30">
        <v>15000000</v>
      </c>
      <c r="K32" s="30">
        <v>15000000</v>
      </c>
      <c r="L32" s="30">
        <v>15000000</v>
      </c>
      <c r="M32" s="30">
        <v>15000000</v>
      </c>
      <c r="N32" s="30">
        <v>15000000</v>
      </c>
      <c r="O32" s="30">
        <v>15000000</v>
      </c>
      <c r="P32" s="30">
        <v>15000000</v>
      </c>
      <c r="Q32" s="30">
        <v>15000000</v>
      </c>
      <c r="R32" s="30">
        <v>15000000</v>
      </c>
      <c r="S32" s="30">
        <v>15000000</v>
      </c>
      <c r="T32" s="30">
        <v>15000000</v>
      </c>
      <c r="U32" s="39">
        <f t="shared" si="9"/>
        <v>180000000</v>
      </c>
      <c r="V32" s="31">
        <f t="shared" si="10"/>
        <v>15000000</v>
      </c>
      <c r="W32" s="31">
        <f t="shared" si="10"/>
        <v>15000000</v>
      </c>
      <c r="X32" s="31">
        <f t="shared" si="10"/>
        <v>15000000</v>
      </c>
      <c r="Y32" s="31">
        <f t="shared" si="10"/>
        <v>15000000</v>
      </c>
      <c r="Z32" s="31">
        <f t="shared" si="10"/>
        <v>15000000</v>
      </c>
      <c r="AA32" s="31">
        <f t="shared" si="10"/>
        <v>15000000</v>
      </c>
      <c r="AB32" s="31">
        <f t="shared" si="10"/>
        <v>15000000</v>
      </c>
      <c r="AC32" s="31">
        <f t="shared" si="10"/>
        <v>15000000</v>
      </c>
      <c r="AD32" s="31">
        <f t="shared" si="10"/>
        <v>15000000</v>
      </c>
      <c r="AE32" s="31">
        <f t="shared" si="10"/>
        <v>15000000</v>
      </c>
      <c r="AF32" s="31">
        <f t="shared" si="10"/>
        <v>15000000</v>
      </c>
      <c r="AG32" s="31">
        <f t="shared" si="10"/>
        <v>15000000</v>
      </c>
      <c r="AH32" s="39">
        <f t="shared" si="11"/>
        <v>180000000</v>
      </c>
      <c r="AI32" s="29"/>
      <c r="AJ32" s="32">
        <f t="shared" si="12"/>
        <v>0</v>
      </c>
      <c r="AK32" s="33">
        <f t="shared" si="13"/>
        <v>0</v>
      </c>
      <c r="AL32" s="32">
        <f t="shared" si="14"/>
        <v>0</v>
      </c>
      <c r="AM32" s="32">
        <f t="shared" si="15"/>
        <v>0</v>
      </c>
      <c r="AN32" s="32">
        <f t="shared" si="16"/>
        <v>0</v>
      </c>
      <c r="AO32" s="32">
        <f t="shared" si="17"/>
        <v>0</v>
      </c>
      <c r="AP32" s="33">
        <f t="shared" si="18"/>
        <v>0</v>
      </c>
      <c r="AQ32" s="33">
        <f t="shared" si="19"/>
        <v>0</v>
      </c>
      <c r="AR32" s="33">
        <f t="shared" si="20"/>
        <v>0</v>
      </c>
      <c r="AS32" s="33">
        <f t="shared" si="21"/>
        <v>0</v>
      </c>
      <c r="AT32" s="29"/>
      <c r="AU32" s="34">
        <f t="shared" si="22"/>
        <v>1.4999999999999999E-2</v>
      </c>
      <c r="AV32" s="34">
        <f t="shared" si="23"/>
        <v>1.3180440226703572E-2</v>
      </c>
      <c r="AW32" s="35">
        <f t="shared" si="24"/>
        <v>-0.18195597732964269</v>
      </c>
    </row>
    <row r="33" spans="2:49" x14ac:dyDescent="0.4">
      <c r="B33" s="36" t="s">
        <v>97</v>
      </c>
      <c r="C33" s="36"/>
      <c r="D33" s="36" t="s">
        <v>87</v>
      </c>
      <c r="E33" s="36"/>
      <c r="F33" s="36"/>
      <c r="G33" s="77"/>
      <c r="H33" s="36"/>
      <c r="I33" s="37">
        <f t="shared" ref="I33:T33" si="25">SUM(I27:I32)</f>
        <v>105000000</v>
      </c>
      <c r="J33" s="37">
        <f t="shared" si="25"/>
        <v>105000000</v>
      </c>
      <c r="K33" s="37">
        <f t="shared" si="25"/>
        <v>105000000</v>
      </c>
      <c r="L33" s="37">
        <f t="shared" si="25"/>
        <v>105000000</v>
      </c>
      <c r="M33" s="37">
        <f t="shared" si="25"/>
        <v>105000000</v>
      </c>
      <c r="N33" s="37">
        <f t="shared" si="25"/>
        <v>105000000</v>
      </c>
      <c r="O33" s="37">
        <f t="shared" si="25"/>
        <v>105000000</v>
      </c>
      <c r="P33" s="37">
        <f t="shared" si="25"/>
        <v>105000000</v>
      </c>
      <c r="Q33" s="37">
        <f t="shared" si="25"/>
        <v>105000000</v>
      </c>
      <c r="R33" s="37">
        <f t="shared" si="25"/>
        <v>105000000</v>
      </c>
      <c r="S33" s="37">
        <f t="shared" si="25"/>
        <v>105000000</v>
      </c>
      <c r="T33" s="37">
        <f t="shared" si="25"/>
        <v>105000000</v>
      </c>
      <c r="U33" s="37">
        <f t="shared" si="9"/>
        <v>1260000000</v>
      </c>
      <c r="V33" s="37">
        <f t="shared" ref="V33:AG33" si="26">SUM(V27:V32)</f>
        <v>107500000</v>
      </c>
      <c r="W33" s="37">
        <f t="shared" si="26"/>
        <v>107500000</v>
      </c>
      <c r="X33" s="37">
        <f t="shared" si="26"/>
        <v>107500000</v>
      </c>
      <c r="Y33" s="37">
        <f t="shared" si="26"/>
        <v>107500000</v>
      </c>
      <c r="Z33" s="37">
        <f t="shared" si="26"/>
        <v>107500000</v>
      </c>
      <c r="AA33" s="37">
        <f t="shared" si="26"/>
        <v>107500000</v>
      </c>
      <c r="AB33" s="37">
        <f t="shared" si="26"/>
        <v>107500000</v>
      </c>
      <c r="AC33" s="37">
        <f t="shared" si="26"/>
        <v>107500000</v>
      </c>
      <c r="AD33" s="37">
        <f t="shared" si="26"/>
        <v>107500000</v>
      </c>
      <c r="AE33" s="37">
        <f t="shared" si="26"/>
        <v>107500000</v>
      </c>
      <c r="AF33" s="37">
        <f t="shared" si="26"/>
        <v>107500000</v>
      </c>
      <c r="AG33" s="37">
        <f t="shared" si="26"/>
        <v>107500000</v>
      </c>
      <c r="AH33" s="37">
        <f t="shared" si="11"/>
        <v>1290000000</v>
      </c>
      <c r="AI33" s="9"/>
      <c r="AJ33" s="23">
        <f t="shared" si="12"/>
        <v>30000000</v>
      </c>
      <c r="AK33" s="24">
        <f t="shared" si="13"/>
        <v>2.3809523809523808E-2</v>
      </c>
      <c r="AL33" s="23">
        <f t="shared" si="14"/>
        <v>7500000</v>
      </c>
      <c r="AM33" s="23">
        <f t="shared" si="15"/>
        <v>7500000</v>
      </c>
      <c r="AN33" s="23">
        <f t="shared" si="16"/>
        <v>7500000</v>
      </c>
      <c r="AO33" s="23">
        <f t="shared" si="17"/>
        <v>7500000</v>
      </c>
      <c r="AP33" s="24">
        <f t="shared" si="18"/>
        <v>2.3809523809523808E-2</v>
      </c>
      <c r="AQ33" s="24">
        <f t="shared" si="19"/>
        <v>2.3809523809523808E-2</v>
      </c>
      <c r="AR33" s="24">
        <f t="shared" si="20"/>
        <v>2.3809523809523808E-2</v>
      </c>
      <c r="AS33" s="24">
        <f t="shared" si="21"/>
        <v>2.3809523809523808E-2</v>
      </c>
      <c r="AT33" s="9"/>
      <c r="AU33" s="25">
        <f t="shared" si="22"/>
        <v>0.105</v>
      </c>
      <c r="AV33" s="25">
        <f t="shared" si="23"/>
        <v>9.4459821624708937E-2</v>
      </c>
      <c r="AW33" s="26">
        <f t="shared" si="24"/>
        <v>-1.054017837529106</v>
      </c>
    </row>
    <row r="34" spans="2:49" x14ac:dyDescent="0.4">
      <c r="B34" s="5" t="s">
        <v>98</v>
      </c>
      <c r="G34" s="74"/>
      <c r="U34" s="4"/>
      <c r="AH34" s="4"/>
    </row>
    <row r="35" spans="2:49" x14ac:dyDescent="0.4">
      <c r="B35" s="15" t="s">
        <v>99</v>
      </c>
      <c r="C35" s="16" t="s">
        <v>100</v>
      </c>
      <c r="D35" s="16" t="s">
        <v>87</v>
      </c>
      <c r="E35" s="16" t="s">
        <v>66</v>
      </c>
      <c r="F35" s="16" t="s">
        <v>89</v>
      </c>
      <c r="G35" s="75">
        <f>pSalario</f>
        <v>7.0000000000000007E-2</v>
      </c>
      <c r="H35" s="7"/>
      <c r="I35" s="17">
        <v>43300000</v>
      </c>
      <c r="J35" s="17">
        <v>43300000</v>
      </c>
      <c r="K35" s="17">
        <v>43300000</v>
      </c>
      <c r="L35" s="17">
        <v>43300000</v>
      </c>
      <c r="M35" s="17">
        <v>43300000</v>
      </c>
      <c r="N35" s="17">
        <v>43300000</v>
      </c>
      <c r="O35" s="17">
        <v>43300000</v>
      </c>
      <c r="P35" s="17">
        <v>43300000</v>
      </c>
      <c r="Q35" s="17">
        <v>43300000</v>
      </c>
      <c r="R35" s="17">
        <v>43300000</v>
      </c>
      <c r="S35" s="17">
        <v>43300000</v>
      </c>
      <c r="T35" s="17">
        <v>43700000</v>
      </c>
      <c r="U35" s="84">
        <f t="shared" ref="U35:U43" si="27">SUM(I35:T35)</f>
        <v>520000000</v>
      </c>
      <c r="V35" s="18">
        <f t="shared" ref="V35:AG41" si="28">I35*(1+$G35)</f>
        <v>46331000</v>
      </c>
      <c r="W35" s="18">
        <f t="shared" si="28"/>
        <v>46331000</v>
      </c>
      <c r="X35" s="18">
        <f t="shared" si="28"/>
        <v>46331000</v>
      </c>
      <c r="Y35" s="18">
        <f t="shared" si="28"/>
        <v>46331000</v>
      </c>
      <c r="Z35" s="18">
        <f t="shared" si="28"/>
        <v>46331000</v>
      </c>
      <c r="AA35" s="18">
        <f t="shared" si="28"/>
        <v>46331000</v>
      </c>
      <c r="AB35" s="18">
        <f t="shared" si="28"/>
        <v>46331000</v>
      </c>
      <c r="AC35" s="18">
        <f t="shared" si="28"/>
        <v>46331000</v>
      </c>
      <c r="AD35" s="18">
        <f t="shared" si="28"/>
        <v>46331000</v>
      </c>
      <c r="AE35" s="18">
        <f t="shared" si="28"/>
        <v>46331000</v>
      </c>
      <c r="AF35" s="18">
        <f t="shared" si="28"/>
        <v>46331000</v>
      </c>
      <c r="AG35" s="18">
        <f t="shared" si="28"/>
        <v>46759000</v>
      </c>
      <c r="AH35" s="84">
        <f t="shared" ref="AH35:AH43" si="29">SUM(V35:AG35)</f>
        <v>556400000</v>
      </c>
      <c r="AI35" s="7"/>
      <c r="AJ35" s="19">
        <f t="shared" ref="AJ35:AJ43" si="30">AH35-U35</f>
        <v>36400000</v>
      </c>
      <c r="AK35" s="20">
        <f t="shared" ref="AK35:AK43" si="31">IFERROR(AJ35/ABS(U35),"")</f>
        <v>7.0000000000000007E-2</v>
      </c>
      <c r="AL35" s="19">
        <f t="shared" ref="AL35:AL43" si="32">SUM(V35:X35)-SUM(I35:K35)</f>
        <v>9093000</v>
      </c>
      <c r="AM35" s="19">
        <f t="shared" ref="AM35:AM43" si="33">SUM(Y35:AA35)-SUM(L35:N35)</f>
        <v>9093000</v>
      </c>
      <c r="AN35" s="19">
        <f t="shared" ref="AN35:AN43" si="34">SUM(AB35:AD35)-SUM(O35:Q35)</f>
        <v>9093000</v>
      </c>
      <c r="AO35" s="19">
        <f t="shared" ref="AO35:AO43" si="35">SUM(AE35:AG35)-SUM(R35:T35)</f>
        <v>9121000</v>
      </c>
      <c r="AP35" s="20">
        <f t="shared" ref="AP35:AP43" si="36">IFERROR(AL35/ABS(SUM(I35:K35)),"")</f>
        <v>7.0000000000000007E-2</v>
      </c>
      <c r="AQ35" s="20">
        <f t="shared" ref="AQ35:AQ43" si="37">IFERROR(AM35/ABS(SUM(L35:N35)),"")</f>
        <v>7.0000000000000007E-2</v>
      </c>
      <c r="AR35" s="20">
        <f t="shared" ref="AR35:AR43" si="38">IFERROR(AN35/ABS(SUM(O35:Q35)),"")</f>
        <v>7.0000000000000007E-2</v>
      </c>
      <c r="AS35" s="20">
        <f t="shared" ref="AS35:AS43" si="39">IFERROR(AO35/ABS(SUM(R35:T35)),"")</f>
        <v>7.0000000000000007E-2</v>
      </c>
      <c r="AT35" s="7"/>
      <c r="AU35" s="21">
        <f t="shared" ref="AU35:AU43" si="40">IFERROR(U35/$U$17,0)</f>
        <v>4.3333333333333335E-2</v>
      </c>
      <c r="AV35" s="21">
        <f t="shared" ref="AV35:AV43" si="41">IFERROR(AH35/$AH$17,0)</f>
        <v>4.0742205234099264E-2</v>
      </c>
      <c r="AW35" s="22">
        <f t="shared" ref="AW35:AW43" si="42">(AV35-AU35)*100</f>
        <v>-0.25911280992340702</v>
      </c>
    </row>
    <row r="36" spans="2:49" x14ac:dyDescent="0.4">
      <c r="B36" s="27" t="s">
        <v>101</v>
      </c>
      <c r="C36" s="28" t="s">
        <v>100</v>
      </c>
      <c r="D36" s="28" t="s">
        <v>87</v>
      </c>
      <c r="E36" s="28" t="s">
        <v>66</v>
      </c>
      <c r="F36" s="28" t="s">
        <v>67</v>
      </c>
      <c r="G36" s="76">
        <v>0.113</v>
      </c>
      <c r="H36" s="29"/>
      <c r="I36" s="30">
        <v>24000000</v>
      </c>
      <c r="J36" s="30">
        <v>25500000</v>
      </c>
      <c r="K36" s="30">
        <v>28500000</v>
      </c>
      <c r="L36" s="30">
        <v>28500000</v>
      </c>
      <c r="M36" s="30">
        <v>30000000</v>
      </c>
      <c r="N36" s="30">
        <v>30000000</v>
      </c>
      <c r="O36" s="30">
        <v>30000000</v>
      </c>
      <c r="P36" s="30">
        <v>31500000</v>
      </c>
      <c r="Q36" s="30">
        <v>30000000</v>
      </c>
      <c r="R36" s="30">
        <v>31500000</v>
      </c>
      <c r="S36" s="30">
        <v>34500000</v>
      </c>
      <c r="T36" s="30">
        <v>36000000</v>
      </c>
      <c r="U36" s="39">
        <f t="shared" si="27"/>
        <v>360000000</v>
      </c>
      <c r="V36" s="31">
        <f t="shared" si="28"/>
        <v>26712000</v>
      </c>
      <c r="W36" s="31">
        <f t="shared" si="28"/>
        <v>28381500</v>
      </c>
      <c r="X36" s="31">
        <f t="shared" si="28"/>
        <v>31720500</v>
      </c>
      <c r="Y36" s="31">
        <f t="shared" si="28"/>
        <v>31720500</v>
      </c>
      <c r="Z36" s="31">
        <f t="shared" si="28"/>
        <v>33390000</v>
      </c>
      <c r="AA36" s="31">
        <f t="shared" si="28"/>
        <v>33390000</v>
      </c>
      <c r="AB36" s="31">
        <f t="shared" si="28"/>
        <v>33390000</v>
      </c>
      <c r="AC36" s="31">
        <f t="shared" si="28"/>
        <v>35059500</v>
      </c>
      <c r="AD36" s="31">
        <f t="shared" si="28"/>
        <v>33390000</v>
      </c>
      <c r="AE36" s="31">
        <f t="shared" si="28"/>
        <v>35059500</v>
      </c>
      <c r="AF36" s="31">
        <f t="shared" si="28"/>
        <v>38398500</v>
      </c>
      <c r="AG36" s="31">
        <f t="shared" si="28"/>
        <v>40068000</v>
      </c>
      <c r="AH36" s="39">
        <f t="shared" si="29"/>
        <v>400680000</v>
      </c>
      <c r="AI36" s="29"/>
      <c r="AJ36" s="32">
        <f t="shared" si="30"/>
        <v>40680000</v>
      </c>
      <c r="AK36" s="33">
        <f t="shared" si="31"/>
        <v>0.113</v>
      </c>
      <c r="AL36" s="32">
        <f t="shared" si="32"/>
        <v>8814000</v>
      </c>
      <c r="AM36" s="32">
        <f t="shared" si="33"/>
        <v>10000500</v>
      </c>
      <c r="AN36" s="32">
        <f t="shared" si="34"/>
        <v>10339500</v>
      </c>
      <c r="AO36" s="32">
        <f t="shared" si="35"/>
        <v>11526000</v>
      </c>
      <c r="AP36" s="33">
        <f t="shared" si="36"/>
        <v>0.113</v>
      </c>
      <c r="AQ36" s="33">
        <f t="shared" si="37"/>
        <v>0.113</v>
      </c>
      <c r="AR36" s="33">
        <f t="shared" si="38"/>
        <v>0.113</v>
      </c>
      <c r="AS36" s="33">
        <f t="shared" si="39"/>
        <v>0.113</v>
      </c>
      <c r="AT36" s="29"/>
      <c r="AU36" s="34">
        <f t="shared" si="40"/>
        <v>0.03</v>
      </c>
      <c r="AV36" s="34">
        <f t="shared" si="41"/>
        <v>2.933965994464215E-2</v>
      </c>
      <c r="AW36" s="35">
        <f t="shared" si="42"/>
        <v>-6.6034005535784909E-2</v>
      </c>
    </row>
    <row r="37" spans="2:49" x14ac:dyDescent="0.4">
      <c r="B37" s="27" t="s">
        <v>102</v>
      </c>
      <c r="C37" s="28" t="s">
        <v>100</v>
      </c>
      <c r="D37" s="28" t="s">
        <v>87</v>
      </c>
      <c r="E37" s="28" t="s">
        <v>66</v>
      </c>
      <c r="F37" s="28" t="s">
        <v>91</v>
      </c>
      <c r="G37" s="76">
        <v>0.35199999999999998</v>
      </c>
      <c r="H37" s="29"/>
      <c r="I37" s="30">
        <v>20000000</v>
      </c>
      <c r="J37" s="30">
        <v>20000000</v>
      </c>
      <c r="K37" s="30">
        <v>20000000</v>
      </c>
      <c r="L37" s="30">
        <v>20000000</v>
      </c>
      <c r="M37" s="30">
        <v>20000000</v>
      </c>
      <c r="N37" s="30">
        <v>20000000</v>
      </c>
      <c r="O37" s="30">
        <v>20000000</v>
      </c>
      <c r="P37" s="30">
        <v>20000000</v>
      </c>
      <c r="Q37" s="30">
        <v>20000000</v>
      </c>
      <c r="R37" s="30">
        <v>20000000</v>
      </c>
      <c r="S37" s="30">
        <v>20000000</v>
      </c>
      <c r="T37" s="30">
        <v>20000000</v>
      </c>
      <c r="U37" s="39">
        <f t="shared" si="27"/>
        <v>240000000</v>
      </c>
      <c r="V37" s="31">
        <f t="shared" si="28"/>
        <v>27039999.999999996</v>
      </c>
      <c r="W37" s="31">
        <f t="shared" si="28"/>
        <v>27039999.999999996</v>
      </c>
      <c r="X37" s="31">
        <f t="shared" si="28"/>
        <v>27039999.999999996</v>
      </c>
      <c r="Y37" s="31">
        <f t="shared" si="28"/>
        <v>27039999.999999996</v>
      </c>
      <c r="Z37" s="31">
        <f t="shared" si="28"/>
        <v>27039999.999999996</v>
      </c>
      <c r="AA37" s="31">
        <f t="shared" si="28"/>
        <v>27039999.999999996</v>
      </c>
      <c r="AB37" s="31">
        <f t="shared" si="28"/>
        <v>27039999.999999996</v>
      </c>
      <c r="AC37" s="31">
        <f t="shared" si="28"/>
        <v>27039999.999999996</v>
      </c>
      <c r="AD37" s="31">
        <f t="shared" si="28"/>
        <v>27039999.999999996</v>
      </c>
      <c r="AE37" s="31">
        <f t="shared" si="28"/>
        <v>27039999.999999996</v>
      </c>
      <c r="AF37" s="31">
        <f t="shared" si="28"/>
        <v>27039999.999999996</v>
      </c>
      <c r="AG37" s="31">
        <f t="shared" si="28"/>
        <v>27039999.999999996</v>
      </c>
      <c r="AH37" s="39">
        <f t="shared" si="29"/>
        <v>324479999.99999994</v>
      </c>
      <c r="AI37" s="29"/>
      <c r="AJ37" s="32">
        <f t="shared" si="30"/>
        <v>84479999.99999994</v>
      </c>
      <c r="AK37" s="33">
        <f t="shared" si="31"/>
        <v>0.35199999999999976</v>
      </c>
      <c r="AL37" s="32">
        <f t="shared" si="32"/>
        <v>21119999.999999985</v>
      </c>
      <c r="AM37" s="32">
        <f t="shared" si="33"/>
        <v>21119999.999999985</v>
      </c>
      <c r="AN37" s="32">
        <f t="shared" si="34"/>
        <v>21119999.999999985</v>
      </c>
      <c r="AO37" s="32">
        <f t="shared" si="35"/>
        <v>21119999.999999985</v>
      </c>
      <c r="AP37" s="33">
        <f t="shared" si="36"/>
        <v>0.35199999999999976</v>
      </c>
      <c r="AQ37" s="33">
        <f t="shared" si="37"/>
        <v>0.35199999999999976</v>
      </c>
      <c r="AR37" s="33">
        <f t="shared" si="38"/>
        <v>0.35199999999999976</v>
      </c>
      <c r="AS37" s="33">
        <f t="shared" si="39"/>
        <v>0.35199999999999976</v>
      </c>
      <c r="AT37" s="29"/>
      <c r="AU37" s="34">
        <f t="shared" si="40"/>
        <v>0.02</v>
      </c>
      <c r="AV37" s="34">
        <f t="shared" si="41"/>
        <v>2.3759940248670969E-2</v>
      </c>
      <c r="AW37" s="35">
        <f t="shared" si="42"/>
        <v>0.37599402486709688</v>
      </c>
    </row>
    <row r="38" spans="2:49" x14ac:dyDescent="0.4">
      <c r="B38" s="27" t="s">
        <v>103</v>
      </c>
      <c r="C38" s="28" t="s">
        <v>100</v>
      </c>
      <c r="D38" s="28" t="s">
        <v>87</v>
      </c>
      <c r="E38" s="28" t="s">
        <v>75</v>
      </c>
      <c r="F38" s="28" t="s">
        <v>104</v>
      </c>
      <c r="G38" s="76">
        <v>0.06</v>
      </c>
      <c r="H38" s="29"/>
      <c r="I38" s="30">
        <v>20000000</v>
      </c>
      <c r="J38" s="30">
        <v>21200000</v>
      </c>
      <c r="K38" s="30">
        <v>23800000</v>
      </c>
      <c r="L38" s="30">
        <v>23800000</v>
      </c>
      <c r="M38" s="30">
        <v>25000000</v>
      </c>
      <c r="N38" s="30">
        <v>25000000</v>
      </c>
      <c r="O38" s="30">
        <v>25000000</v>
      </c>
      <c r="P38" s="30">
        <v>26200000</v>
      </c>
      <c r="Q38" s="30">
        <v>25000000</v>
      </c>
      <c r="R38" s="30">
        <v>26200000</v>
      </c>
      <c r="S38" s="30">
        <v>28800000</v>
      </c>
      <c r="T38" s="30">
        <v>30000000</v>
      </c>
      <c r="U38" s="39">
        <f t="shared" si="27"/>
        <v>300000000</v>
      </c>
      <c r="V38" s="31">
        <f t="shared" si="28"/>
        <v>21200000</v>
      </c>
      <c r="W38" s="31">
        <f t="shared" si="28"/>
        <v>22472000</v>
      </c>
      <c r="X38" s="31">
        <f t="shared" si="28"/>
        <v>25228000</v>
      </c>
      <c r="Y38" s="31">
        <f t="shared" si="28"/>
        <v>25228000</v>
      </c>
      <c r="Z38" s="31">
        <f t="shared" si="28"/>
        <v>26500000</v>
      </c>
      <c r="AA38" s="31">
        <f t="shared" si="28"/>
        <v>26500000</v>
      </c>
      <c r="AB38" s="31">
        <f t="shared" si="28"/>
        <v>26500000</v>
      </c>
      <c r="AC38" s="31">
        <f t="shared" si="28"/>
        <v>27772000</v>
      </c>
      <c r="AD38" s="31">
        <f t="shared" si="28"/>
        <v>26500000</v>
      </c>
      <c r="AE38" s="31">
        <f t="shared" si="28"/>
        <v>27772000</v>
      </c>
      <c r="AF38" s="31">
        <f t="shared" si="28"/>
        <v>30528000</v>
      </c>
      <c r="AG38" s="31">
        <f t="shared" si="28"/>
        <v>31800000</v>
      </c>
      <c r="AH38" s="39">
        <f t="shared" si="29"/>
        <v>318000000</v>
      </c>
      <c r="AI38" s="29"/>
      <c r="AJ38" s="32">
        <f t="shared" si="30"/>
        <v>18000000</v>
      </c>
      <c r="AK38" s="33">
        <f t="shared" si="31"/>
        <v>0.06</v>
      </c>
      <c r="AL38" s="32">
        <f t="shared" si="32"/>
        <v>3900000</v>
      </c>
      <c r="AM38" s="32">
        <f t="shared" si="33"/>
        <v>4428000</v>
      </c>
      <c r="AN38" s="32">
        <f t="shared" si="34"/>
        <v>4572000</v>
      </c>
      <c r="AO38" s="32">
        <f t="shared" si="35"/>
        <v>5100000</v>
      </c>
      <c r="AP38" s="33">
        <f t="shared" si="36"/>
        <v>0.06</v>
      </c>
      <c r="AQ38" s="33">
        <f t="shared" si="37"/>
        <v>0.06</v>
      </c>
      <c r="AR38" s="33">
        <f t="shared" si="38"/>
        <v>0.06</v>
      </c>
      <c r="AS38" s="33">
        <f t="shared" si="39"/>
        <v>0.06</v>
      </c>
      <c r="AT38" s="29"/>
      <c r="AU38" s="34">
        <f t="shared" si="40"/>
        <v>2.5000000000000001E-2</v>
      </c>
      <c r="AV38" s="34">
        <f t="shared" si="41"/>
        <v>2.3285444400509645E-2</v>
      </c>
      <c r="AW38" s="35">
        <f t="shared" si="42"/>
        <v>-0.17145555994903561</v>
      </c>
    </row>
    <row r="39" spans="2:49" x14ac:dyDescent="0.4">
      <c r="B39" s="27" t="s">
        <v>105</v>
      </c>
      <c r="C39" s="28" t="s">
        <v>100</v>
      </c>
      <c r="D39" s="28" t="s">
        <v>87</v>
      </c>
      <c r="E39" s="28" t="s">
        <v>75</v>
      </c>
      <c r="F39" s="28" t="s">
        <v>89</v>
      </c>
      <c r="G39" s="76">
        <f>pSalario</f>
        <v>7.0000000000000007E-2</v>
      </c>
      <c r="H39" s="29"/>
      <c r="I39" s="30">
        <v>31700000</v>
      </c>
      <c r="J39" s="30">
        <v>31700000</v>
      </c>
      <c r="K39" s="30">
        <v>31700000</v>
      </c>
      <c r="L39" s="30">
        <v>31700000</v>
      </c>
      <c r="M39" s="30">
        <v>31700000</v>
      </c>
      <c r="N39" s="30">
        <v>31700000</v>
      </c>
      <c r="O39" s="30">
        <v>31700000</v>
      </c>
      <c r="P39" s="30">
        <v>31700000</v>
      </c>
      <c r="Q39" s="30">
        <v>31700000</v>
      </c>
      <c r="R39" s="30">
        <v>31700000</v>
      </c>
      <c r="S39" s="30">
        <v>31700000</v>
      </c>
      <c r="T39" s="30">
        <v>31300000</v>
      </c>
      <c r="U39" s="39">
        <f t="shared" si="27"/>
        <v>380000000</v>
      </c>
      <c r="V39" s="31">
        <f t="shared" si="28"/>
        <v>33919000</v>
      </c>
      <c r="W39" s="31">
        <f t="shared" si="28"/>
        <v>33919000</v>
      </c>
      <c r="X39" s="31">
        <f t="shared" si="28"/>
        <v>33919000</v>
      </c>
      <c r="Y39" s="31">
        <f t="shared" si="28"/>
        <v>33919000</v>
      </c>
      <c r="Z39" s="31">
        <f t="shared" si="28"/>
        <v>33919000</v>
      </c>
      <c r="AA39" s="31">
        <f t="shared" si="28"/>
        <v>33919000</v>
      </c>
      <c r="AB39" s="31">
        <f t="shared" si="28"/>
        <v>33919000</v>
      </c>
      <c r="AC39" s="31">
        <f t="shared" si="28"/>
        <v>33919000</v>
      </c>
      <c r="AD39" s="31">
        <f t="shared" si="28"/>
        <v>33919000</v>
      </c>
      <c r="AE39" s="31">
        <f t="shared" si="28"/>
        <v>33919000</v>
      </c>
      <c r="AF39" s="31">
        <f t="shared" si="28"/>
        <v>33919000</v>
      </c>
      <c r="AG39" s="31">
        <f t="shared" si="28"/>
        <v>33491000.000000004</v>
      </c>
      <c r="AH39" s="39">
        <f t="shared" si="29"/>
        <v>406600000</v>
      </c>
      <c r="AI39" s="29"/>
      <c r="AJ39" s="32">
        <f t="shared" si="30"/>
        <v>26600000</v>
      </c>
      <c r="AK39" s="33">
        <f t="shared" si="31"/>
        <v>7.0000000000000007E-2</v>
      </c>
      <c r="AL39" s="32">
        <f t="shared" si="32"/>
        <v>6657000</v>
      </c>
      <c r="AM39" s="32">
        <f t="shared" si="33"/>
        <v>6657000</v>
      </c>
      <c r="AN39" s="32">
        <f t="shared" si="34"/>
        <v>6657000</v>
      </c>
      <c r="AO39" s="32">
        <f t="shared" si="35"/>
        <v>6629000</v>
      </c>
      <c r="AP39" s="33">
        <f t="shared" si="36"/>
        <v>7.0000000000000007E-2</v>
      </c>
      <c r="AQ39" s="33">
        <f t="shared" si="37"/>
        <v>7.0000000000000007E-2</v>
      </c>
      <c r="AR39" s="33">
        <f t="shared" si="38"/>
        <v>7.0000000000000007E-2</v>
      </c>
      <c r="AS39" s="33">
        <f t="shared" si="39"/>
        <v>7.0000000000000007E-2</v>
      </c>
      <c r="AT39" s="29"/>
      <c r="AU39" s="34">
        <f t="shared" si="40"/>
        <v>3.1666666666666669E-2</v>
      </c>
      <c r="AV39" s="34">
        <f t="shared" si="41"/>
        <v>2.9773149978764846E-2</v>
      </c>
      <c r="AW39" s="35">
        <f t="shared" si="42"/>
        <v>-0.18935166879018236</v>
      </c>
    </row>
    <row r="40" spans="2:49" x14ac:dyDescent="0.4">
      <c r="B40" s="27" t="s">
        <v>106</v>
      </c>
      <c r="C40" s="28" t="s">
        <v>100</v>
      </c>
      <c r="D40" s="28" t="s">
        <v>87</v>
      </c>
      <c r="E40" s="28" t="s">
        <v>75</v>
      </c>
      <c r="F40" s="28" t="s">
        <v>91</v>
      </c>
      <c r="G40" s="76">
        <f>pIPC</f>
        <v>0.04</v>
      </c>
      <c r="H40" s="29"/>
      <c r="I40" s="30">
        <v>20000000</v>
      </c>
      <c r="J40" s="30">
        <v>20000000</v>
      </c>
      <c r="K40" s="30">
        <v>20000000</v>
      </c>
      <c r="L40" s="30">
        <v>20000000</v>
      </c>
      <c r="M40" s="30">
        <v>20000000</v>
      </c>
      <c r="N40" s="30">
        <v>20000000</v>
      </c>
      <c r="O40" s="30">
        <v>20000000</v>
      </c>
      <c r="P40" s="30">
        <v>20000000</v>
      </c>
      <c r="Q40" s="30">
        <v>20000000</v>
      </c>
      <c r="R40" s="30">
        <v>20000000</v>
      </c>
      <c r="S40" s="30">
        <v>20000000</v>
      </c>
      <c r="T40" s="30">
        <v>20000000</v>
      </c>
      <c r="U40" s="39">
        <f t="shared" si="27"/>
        <v>240000000</v>
      </c>
      <c r="V40" s="31">
        <f t="shared" si="28"/>
        <v>20800000</v>
      </c>
      <c r="W40" s="31">
        <f t="shared" si="28"/>
        <v>20800000</v>
      </c>
      <c r="X40" s="31">
        <f t="shared" si="28"/>
        <v>20800000</v>
      </c>
      <c r="Y40" s="31">
        <f t="shared" si="28"/>
        <v>20800000</v>
      </c>
      <c r="Z40" s="31">
        <f t="shared" si="28"/>
        <v>20800000</v>
      </c>
      <c r="AA40" s="31">
        <f t="shared" si="28"/>
        <v>20800000</v>
      </c>
      <c r="AB40" s="31">
        <f t="shared" si="28"/>
        <v>20800000</v>
      </c>
      <c r="AC40" s="31">
        <f t="shared" si="28"/>
        <v>20800000</v>
      </c>
      <c r="AD40" s="31">
        <f t="shared" si="28"/>
        <v>20800000</v>
      </c>
      <c r="AE40" s="31">
        <f t="shared" si="28"/>
        <v>20800000</v>
      </c>
      <c r="AF40" s="31">
        <f t="shared" si="28"/>
        <v>20800000</v>
      </c>
      <c r="AG40" s="31">
        <f t="shared" si="28"/>
        <v>20800000</v>
      </c>
      <c r="AH40" s="39">
        <f t="shared" si="29"/>
        <v>249600000</v>
      </c>
      <c r="AI40" s="29"/>
      <c r="AJ40" s="32">
        <f t="shared" si="30"/>
        <v>9600000</v>
      </c>
      <c r="AK40" s="33">
        <f t="shared" si="31"/>
        <v>0.04</v>
      </c>
      <c r="AL40" s="32">
        <f t="shared" si="32"/>
        <v>2400000</v>
      </c>
      <c r="AM40" s="32">
        <f t="shared" si="33"/>
        <v>2400000</v>
      </c>
      <c r="AN40" s="32">
        <f t="shared" si="34"/>
        <v>2400000</v>
      </c>
      <c r="AO40" s="32">
        <f t="shared" si="35"/>
        <v>2400000</v>
      </c>
      <c r="AP40" s="33">
        <f t="shared" si="36"/>
        <v>0.04</v>
      </c>
      <c r="AQ40" s="33">
        <f t="shared" si="37"/>
        <v>0.04</v>
      </c>
      <c r="AR40" s="33">
        <f t="shared" si="38"/>
        <v>0.04</v>
      </c>
      <c r="AS40" s="33">
        <f t="shared" si="39"/>
        <v>0.04</v>
      </c>
      <c r="AT40" s="29"/>
      <c r="AU40" s="34">
        <f t="shared" si="40"/>
        <v>0.02</v>
      </c>
      <c r="AV40" s="34">
        <f t="shared" si="41"/>
        <v>1.8276877114362287E-2</v>
      </c>
      <c r="AW40" s="35">
        <f t="shared" si="42"/>
        <v>-0.17231228856377129</v>
      </c>
    </row>
    <row r="41" spans="2:49" x14ac:dyDescent="0.4">
      <c r="B41" s="27" t="s">
        <v>107</v>
      </c>
      <c r="C41" s="28" t="s">
        <v>100</v>
      </c>
      <c r="D41" s="28" t="s">
        <v>87</v>
      </c>
      <c r="E41" s="28" t="s">
        <v>75</v>
      </c>
      <c r="F41" s="28" t="s">
        <v>91</v>
      </c>
      <c r="G41" s="76">
        <f>pIPC</f>
        <v>0.04</v>
      </c>
      <c r="H41" s="29"/>
      <c r="I41" s="30">
        <v>7500000</v>
      </c>
      <c r="J41" s="30">
        <v>7500000</v>
      </c>
      <c r="K41" s="30">
        <v>7500000</v>
      </c>
      <c r="L41" s="30">
        <v>7500000</v>
      </c>
      <c r="M41" s="30">
        <v>7500000</v>
      </c>
      <c r="N41" s="30">
        <v>7500000</v>
      </c>
      <c r="O41" s="30">
        <v>7500000</v>
      </c>
      <c r="P41" s="30">
        <v>7500000</v>
      </c>
      <c r="Q41" s="30">
        <v>7500000</v>
      </c>
      <c r="R41" s="30">
        <v>7500000</v>
      </c>
      <c r="S41" s="30">
        <v>7500000</v>
      </c>
      <c r="T41" s="30">
        <v>7500000</v>
      </c>
      <c r="U41" s="39">
        <f t="shared" si="27"/>
        <v>90000000</v>
      </c>
      <c r="V41" s="31">
        <f t="shared" si="28"/>
        <v>7800000</v>
      </c>
      <c r="W41" s="31">
        <f t="shared" si="28"/>
        <v>7800000</v>
      </c>
      <c r="X41" s="31">
        <f t="shared" si="28"/>
        <v>7800000</v>
      </c>
      <c r="Y41" s="31">
        <f t="shared" si="28"/>
        <v>7800000</v>
      </c>
      <c r="Z41" s="31">
        <f t="shared" si="28"/>
        <v>7800000</v>
      </c>
      <c r="AA41" s="31">
        <f t="shared" si="28"/>
        <v>7800000</v>
      </c>
      <c r="AB41" s="31">
        <f t="shared" si="28"/>
        <v>7800000</v>
      </c>
      <c r="AC41" s="31">
        <f t="shared" si="28"/>
        <v>7800000</v>
      </c>
      <c r="AD41" s="31">
        <f t="shared" si="28"/>
        <v>7800000</v>
      </c>
      <c r="AE41" s="31">
        <f t="shared" si="28"/>
        <v>7800000</v>
      </c>
      <c r="AF41" s="31">
        <f t="shared" si="28"/>
        <v>7800000</v>
      </c>
      <c r="AG41" s="31">
        <f t="shared" si="28"/>
        <v>7800000</v>
      </c>
      <c r="AH41" s="39">
        <f t="shared" si="29"/>
        <v>93600000</v>
      </c>
      <c r="AI41" s="29"/>
      <c r="AJ41" s="32">
        <f t="shared" si="30"/>
        <v>3600000</v>
      </c>
      <c r="AK41" s="33">
        <f t="shared" si="31"/>
        <v>0.04</v>
      </c>
      <c r="AL41" s="32">
        <f t="shared" si="32"/>
        <v>900000</v>
      </c>
      <c r="AM41" s="32">
        <f t="shared" si="33"/>
        <v>900000</v>
      </c>
      <c r="AN41" s="32">
        <f t="shared" si="34"/>
        <v>900000</v>
      </c>
      <c r="AO41" s="32">
        <f t="shared" si="35"/>
        <v>900000</v>
      </c>
      <c r="AP41" s="33">
        <f t="shared" si="36"/>
        <v>0.04</v>
      </c>
      <c r="AQ41" s="33">
        <f t="shared" si="37"/>
        <v>0.04</v>
      </c>
      <c r="AR41" s="33">
        <f t="shared" si="38"/>
        <v>0.04</v>
      </c>
      <c r="AS41" s="33">
        <f t="shared" si="39"/>
        <v>0.04</v>
      </c>
      <c r="AT41" s="29"/>
      <c r="AU41" s="34">
        <f t="shared" si="40"/>
        <v>7.4999999999999997E-3</v>
      </c>
      <c r="AV41" s="34">
        <f t="shared" si="41"/>
        <v>6.8538289178858578E-3</v>
      </c>
      <c r="AW41" s="35">
        <f t="shared" si="42"/>
        <v>-6.4617108211414198E-2</v>
      </c>
    </row>
    <row r="42" spans="2:49" x14ac:dyDescent="0.4">
      <c r="B42" s="38" t="s">
        <v>108</v>
      </c>
      <c r="C42" s="38"/>
      <c r="D42" s="38" t="s">
        <v>87</v>
      </c>
      <c r="E42" s="38"/>
      <c r="F42" s="38"/>
      <c r="G42" s="78"/>
      <c r="H42" s="38"/>
      <c r="I42" s="39">
        <f t="shared" ref="I42:T42" si="43">SUM(I35:I41)</f>
        <v>166500000</v>
      </c>
      <c r="J42" s="39">
        <f t="shared" si="43"/>
        <v>169200000</v>
      </c>
      <c r="K42" s="39">
        <f t="shared" si="43"/>
        <v>174800000</v>
      </c>
      <c r="L42" s="39">
        <f t="shared" si="43"/>
        <v>174800000</v>
      </c>
      <c r="M42" s="39">
        <f t="shared" si="43"/>
        <v>177500000</v>
      </c>
      <c r="N42" s="39">
        <f t="shared" si="43"/>
        <v>177500000</v>
      </c>
      <c r="O42" s="39">
        <f t="shared" si="43"/>
        <v>177500000</v>
      </c>
      <c r="P42" s="39">
        <f t="shared" si="43"/>
        <v>180200000</v>
      </c>
      <c r="Q42" s="39">
        <f t="shared" si="43"/>
        <v>177500000</v>
      </c>
      <c r="R42" s="39">
        <f t="shared" si="43"/>
        <v>180200000</v>
      </c>
      <c r="S42" s="39">
        <f t="shared" si="43"/>
        <v>185800000</v>
      </c>
      <c r="T42" s="39">
        <f t="shared" si="43"/>
        <v>188500000</v>
      </c>
      <c r="U42" s="39">
        <f t="shared" si="27"/>
        <v>2130000000</v>
      </c>
      <c r="V42" s="39">
        <f t="shared" ref="V42:AG42" si="44">SUM(V35:V41)</f>
        <v>183802000</v>
      </c>
      <c r="W42" s="39">
        <f t="shared" si="44"/>
        <v>186743500</v>
      </c>
      <c r="X42" s="39">
        <f t="shared" si="44"/>
        <v>192838500</v>
      </c>
      <c r="Y42" s="39">
        <f t="shared" si="44"/>
        <v>192838500</v>
      </c>
      <c r="Z42" s="39">
        <f t="shared" si="44"/>
        <v>195780000</v>
      </c>
      <c r="AA42" s="39">
        <f t="shared" si="44"/>
        <v>195780000</v>
      </c>
      <c r="AB42" s="39">
        <f t="shared" si="44"/>
        <v>195780000</v>
      </c>
      <c r="AC42" s="39">
        <f t="shared" si="44"/>
        <v>198721500</v>
      </c>
      <c r="AD42" s="39">
        <f t="shared" si="44"/>
        <v>195780000</v>
      </c>
      <c r="AE42" s="39">
        <f t="shared" si="44"/>
        <v>198721500</v>
      </c>
      <c r="AF42" s="39">
        <f t="shared" si="44"/>
        <v>204816500</v>
      </c>
      <c r="AG42" s="39">
        <f t="shared" si="44"/>
        <v>207758000</v>
      </c>
      <c r="AH42" s="39">
        <f t="shared" si="29"/>
        <v>2349360000</v>
      </c>
      <c r="AI42" s="29"/>
      <c r="AJ42" s="32">
        <f t="shared" si="30"/>
        <v>219360000</v>
      </c>
      <c r="AK42" s="33">
        <f t="shared" si="31"/>
        <v>0.10298591549295774</v>
      </c>
      <c r="AL42" s="32">
        <f t="shared" si="32"/>
        <v>52884000</v>
      </c>
      <c r="AM42" s="32">
        <f t="shared" si="33"/>
        <v>54598500</v>
      </c>
      <c r="AN42" s="32">
        <f t="shared" si="34"/>
        <v>55081500</v>
      </c>
      <c r="AO42" s="32">
        <f t="shared" si="35"/>
        <v>56796000</v>
      </c>
      <c r="AP42" s="33">
        <f t="shared" si="36"/>
        <v>0.10359255631733595</v>
      </c>
      <c r="AQ42" s="33">
        <f t="shared" si="37"/>
        <v>0.10305492638731596</v>
      </c>
      <c r="AR42" s="33">
        <f t="shared" si="38"/>
        <v>0.10291760089686099</v>
      </c>
      <c r="AS42" s="33">
        <f t="shared" si="39"/>
        <v>0.10242741208295762</v>
      </c>
      <c r="AT42" s="29"/>
      <c r="AU42" s="34">
        <f t="shared" si="40"/>
        <v>0.17749999999999999</v>
      </c>
      <c r="AV42" s="34">
        <f t="shared" si="41"/>
        <v>0.17203110583893502</v>
      </c>
      <c r="AW42" s="35">
        <f t="shared" si="42"/>
        <v>-0.54688941610649688</v>
      </c>
    </row>
    <row r="43" spans="2:49" x14ac:dyDescent="0.4">
      <c r="B43" s="40" t="s">
        <v>109</v>
      </c>
      <c r="C43" s="40"/>
      <c r="D43" s="40" t="s">
        <v>81</v>
      </c>
      <c r="E43" s="40"/>
      <c r="F43" s="40"/>
      <c r="G43" s="79"/>
      <c r="H43" s="40"/>
      <c r="I43" s="42">
        <f t="shared" ref="I43:T43" si="45">I23-I33-I42</f>
        <v>19800000</v>
      </c>
      <c r="J43" s="42">
        <f t="shared" si="45"/>
        <v>35400000</v>
      </c>
      <c r="K43" s="42">
        <f t="shared" si="45"/>
        <v>66100000</v>
      </c>
      <c r="L43" s="42">
        <f t="shared" si="45"/>
        <v>66100000</v>
      </c>
      <c r="M43" s="42">
        <f t="shared" si="45"/>
        <v>81700000</v>
      </c>
      <c r="N43" s="42">
        <f t="shared" si="45"/>
        <v>81700000</v>
      </c>
      <c r="O43" s="42">
        <f t="shared" si="45"/>
        <v>81700000</v>
      </c>
      <c r="P43" s="42">
        <f t="shared" si="45"/>
        <v>97200000</v>
      </c>
      <c r="Q43" s="42">
        <f t="shared" si="45"/>
        <v>81700000</v>
      </c>
      <c r="R43" s="42">
        <f t="shared" si="45"/>
        <v>97200000</v>
      </c>
      <c r="S43" s="42">
        <f t="shared" si="45"/>
        <v>128000000</v>
      </c>
      <c r="T43" s="42">
        <f t="shared" si="45"/>
        <v>143400000</v>
      </c>
      <c r="U43" s="42">
        <f t="shared" si="27"/>
        <v>980000000</v>
      </c>
      <c r="V43" s="42">
        <f t="shared" ref="V43:AG43" si="46">V23-V33-V42</f>
        <v>50258790</v>
      </c>
      <c r="W43" s="42">
        <f t="shared" si="46"/>
        <v>68769680</v>
      </c>
      <c r="X43" s="42">
        <f t="shared" si="46"/>
        <v>105243970</v>
      </c>
      <c r="Y43" s="42">
        <f t="shared" si="46"/>
        <v>105243970</v>
      </c>
      <c r="Z43" s="42">
        <f t="shared" si="46"/>
        <v>123754860</v>
      </c>
      <c r="AA43" s="42">
        <f t="shared" si="46"/>
        <v>123754860</v>
      </c>
      <c r="AB43" s="42">
        <f t="shared" si="46"/>
        <v>123754860</v>
      </c>
      <c r="AC43" s="42">
        <f t="shared" si="46"/>
        <v>142153920</v>
      </c>
      <c r="AD43" s="42">
        <f t="shared" si="46"/>
        <v>123754860</v>
      </c>
      <c r="AE43" s="42">
        <f t="shared" si="46"/>
        <v>142153920</v>
      </c>
      <c r="AF43" s="42">
        <f t="shared" si="46"/>
        <v>178740040</v>
      </c>
      <c r="AG43" s="42">
        <f t="shared" si="46"/>
        <v>197027270</v>
      </c>
      <c r="AH43" s="42">
        <f t="shared" si="29"/>
        <v>1484611000</v>
      </c>
      <c r="AI43" s="41"/>
      <c r="AJ43" s="43">
        <f t="shared" si="30"/>
        <v>504611000</v>
      </c>
      <c r="AK43" s="44">
        <f t="shared" si="31"/>
        <v>0.51490918367346938</v>
      </c>
      <c r="AL43" s="43">
        <f t="shared" si="32"/>
        <v>102972440</v>
      </c>
      <c r="AM43" s="43">
        <f t="shared" si="33"/>
        <v>123253690</v>
      </c>
      <c r="AN43" s="43">
        <f t="shared" si="34"/>
        <v>129063640</v>
      </c>
      <c r="AO43" s="43">
        <f t="shared" si="35"/>
        <v>149321230</v>
      </c>
      <c r="AP43" s="44">
        <f t="shared" si="36"/>
        <v>0.84890717230008239</v>
      </c>
      <c r="AQ43" s="44">
        <f t="shared" si="37"/>
        <v>0.53705311546840961</v>
      </c>
      <c r="AR43" s="44">
        <f t="shared" si="38"/>
        <v>0.49525571757482734</v>
      </c>
      <c r="AS43" s="44">
        <f t="shared" si="39"/>
        <v>0.40510371676614215</v>
      </c>
      <c r="AT43" s="41"/>
      <c r="AU43" s="45">
        <f t="shared" si="40"/>
        <v>8.1666666666666665E-2</v>
      </c>
      <c r="AV43" s="45">
        <f t="shared" si="41"/>
        <v>0.1087101474744812</v>
      </c>
      <c r="AW43" s="46">
        <f t="shared" si="42"/>
        <v>2.7043480807814531</v>
      </c>
    </row>
    <row r="44" spans="2:49" x14ac:dyDescent="0.4">
      <c r="B44" s="50" t="s">
        <v>110</v>
      </c>
      <c r="C44" s="47"/>
      <c r="D44" s="47" t="s">
        <v>83</v>
      </c>
      <c r="E44" s="47"/>
      <c r="F44" s="47"/>
      <c r="G44" s="80"/>
      <c r="H44" s="47"/>
      <c r="I44" s="48">
        <f t="shared" ref="I44:AH44" si="47">IFERROR(I43/I17,0)</f>
        <v>2.4750000000000001E-2</v>
      </c>
      <c r="J44" s="48">
        <f t="shared" si="47"/>
        <v>4.1647058823529412E-2</v>
      </c>
      <c r="K44" s="48">
        <f t="shared" si="47"/>
        <v>6.9578947368421046E-2</v>
      </c>
      <c r="L44" s="48">
        <f t="shared" si="47"/>
        <v>6.9578947368421046E-2</v>
      </c>
      <c r="M44" s="48">
        <f t="shared" si="47"/>
        <v>8.1699999999999995E-2</v>
      </c>
      <c r="N44" s="48">
        <f t="shared" si="47"/>
        <v>8.1699999999999995E-2</v>
      </c>
      <c r="O44" s="48">
        <f t="shared" si="47"/>
        <v>8.1699999999999995E-2</v>
      </c>
      <c r="P44" s="48">
        <f t="shared" si="47"/>
        <v>9.2571428571428568E-2</v>
      </c>
      <c r="Q44" s="48">
        <f t="shared" si="47"/>
        <v>8.1699999999999995E-2</v>
      </c>
      <c r="R44" s="48">
        <f t="shared" si="47"/>
        <v>9.2571428571428568E-2</v>
      </c>
      <c r="S44" s="48">
        <f t="shared" si="47"/>
        <v>0.11130434782608696</v>
      </c>
      <c r="T44" s="48">
        <f t="shared" si="47"/>
        <v>0.1195</v>
      </c>
      <c r="U44" s="85">
        <f t="shared" si="47"/>
        <v>8.1666666666666665E-2</v>
      </c>
      <c r="V44" s="48">
        <f t="shared" si="47"/>
        <v>5.5202748121787271E-2</v>
      </c>
      <c r="W44" s="48">
        <f t="shared" si="47"/>
        <v>7.1091345619571145E-2</v>
      </c>
      <c r="X44" s="48">
        <f t="shared" si="47"/>
        <v>9.7344691635507644E-2</v>
      </c>
      <c r="Y44" s="48">
        <f t="shared" si="47"/>
        <v>9.7344691635507644E-2</v>
      </c>
      <c r="Z44" s="48">
        <f t="shared" si="47"/>
        <v>0.10874290233293792</v>
      </c>
      <c r="AA44" s="48">
        <f t="shared" si="47"/>
        <v>0.10874290233293792</v>
      </c>
      <c r="AB44" s="48">
        <f t="shared" si="47"/>
        <v>0.10874290233293792</v>
      </c>
      <c r="AC44" s="48">
        <f t="shared" si="47"/>
        <v>0.11896198384454612</v>
      </c>
      <c r="AD44" s="48">
        <f t="shared" si="47"/>
        <v>0.10874290233293792</v>
      </c>
      <c r="AE44" s="48">
        <f t="shared" si="47"/>
        <v>0.11896198384454612</v>
      </c>
      <c r="AF44" s="48">
        <f t="shared" si="47"/>
        <v>0.13657231381673077</v>
      </c>
      <c r="AG44" s="48">
        <f t="shared" si="47"/>
        <v>0.14427256418142143</v>
      </c>
      <c r="AH44" s="85">
        <f t="shared" si="47"/>
        <v>0.1087101474744812</v>
      </c>
      <c r="AI44" s="47"/>
      <c r="AJ44" s="47"/>
      <c r="AK44" s="49">
        <f>(AH44-U44)*100</f>
        <v>2.7043480807814531</v>
      </c>
      <c r="AL44" s="49"/>
      <c r="AM44" s="49"/>
      <c r="AN44" s="49"/>
      <c r="AO44" s="49"/>
      <c r="AP44" s="49">
        <f>(IFERROR(SUM(V43:X43)/SUM(V17:X17),0)-IFERROR(SUM(I43:K43)/SUM(I17:K17),0))*100</f>
        <v>2.9141268972229821</v>
      </c>
      <c r="AQ44" s="49">
        <f>(IFERROR(SUM(Y43:AA43)/SUM(Y17:AA17),0)-IFERROR(SUM(L43:N43)/SUM(L17:N17),0))*100</f>
        <v>2.7275681938850216</v>
      </c>
      <c r="AR44" s="49">
        <f>(IFERROR(SUM(AB43:AD43)/SUM(AB17:AD17),0)-IFERROR(SUM(O43:Q43)/SUM(O17:Q17),0))*100</f>
        <v>2.6818323836934193</v>
      </c>
      <c r="AS44" s="49">
        <f>(IFERROR(SUM(AE43:AG43)/SUM(AE17:AG17),0)-IFERROR(SUM(R43:T43)/SUM(R17:T17),0))*100</f>
        <v>2.5439800277564566</v>
      </c>
      <c r="AT44" s="47"/>
      <c r="AU44" s="47"/>
      <c r="AV44" s="47"/>
      <c r="AW44" s="47"/>
    </row>
    <row r="45" spans="2:49" x14ac:dyDescent="0.4">
      <c r="B45" s="51" t="s">
        <v>111</v>
      </c>
      <c r="C45" s="51"/>
      <c r="D45" s="51" t="s">
        <v>81</v>
      </c>
      <c r="E45" s="51"/>
      <c r="F45" s="51"/>
      <c r="G45" s="81"/>
      <c r="H45" s="51"/>
      <c r="I45" s="53">
        <f t="shared" ref="I45:T45" si="48">I43+I32</f>
        <v>34800000</v>
      </c>
      <c r="J45" s="53">
        <f t="shared" si="48"/>
        <v>50400000</v>
      </c>
      <c r="K45" s="53">
        <f t="shared" si="48"/>
        <v>81100000</v>
      </c>
      <c r="L45" s="53">
        <f t="shared" si="48"/>
        <v>81100000</v>
      </c>
      <c r="M45" s="53">
        <f t="shared" si="48"/>
        <v>96700000</v>
      </c>
      <c r="N45" s="53">
        <f t="shared" si="48"/>
        <v>96700000</v>
      </c>
      <c r="O45" s="53">
        <f t="shared" si="48"/>
        <v>96700000</v>
      </c>
      <c r="P45" s="53">
        <f t="shared" si="48"/>
        <v>112200000</v>
      </c>
      <c r="Q45" s="53">
        <f t="shared" si="48"/>
        <v>96700000</v>
      </c>
      <c r="R45" s="53">
        <f t="shared" si="48"/>
        <v>112200000</v>
      </c>
      <c r="S45" s="53">
        <f t="shared" si="48"/>
        <v>143000000</v>
      </c>
      <c r="T45" s="53">
        <f t="shared" si="48"/>
        <v>158400000</v>
      </c>
      <c r="U45" s="53">
        <f>SUM(I45:T45)</f>
        <v>1160000000</v>
      </c>
      <c r="V45" s="53">
        <f t="shared" ref="V45:AG45" si="49">V43+V32</f>
        <v>65258790</v>
      </c>
      <c r="W45" s="53">
        <f t="shared" si="49"/>
        <v>83769680</v>
      </c>
      <c r="X45" s="53">
        <f t="shared" si="49"/>
        <v>120243970</v>
      </c>
      <c r="Y45" s="53">
        <f t="shared" si="49"/>
        <v>120243970</v>
      </c>
      <c r="Z45" s="53">
        <f t="shared" si="49"/>
        <v>138754860</v>
      </c>
      <c r="AA45" s="53">
        <f t="shared" si="49"/>
        <v>138754860</v>
      </c>
      <c r="AB45" s="53">
        <f t="shared" si="49"/>
        <v>138754860</v>
      </c>
      <c r="AC45" s="53">
        <f t="shared" si="49"/>
        <v>157153920</v>
      </c>
      <c r="AD45" s="53">
        <f t="shared" si="49"/>
        <v>138754860</v>
      </c>
      <c r="AE45" s="53">
        <f t="shared" si="49"/>
        <v>157153920</v>
      </c>
      <c r="AF45" s="53">
        <f t="shared" si="49"/>
        <v>193740040</v>
      </c>
      <c r="AG45" s="53">
        <f t="shared" si="49"/>
        <v>212027270</v>
      </c>
      <c r="AH45" s="53">
        <f>SUM(V45:AG45)</f>
        <v>1664611000</v>
      </c>
      <c r="AI45" s="52"/>
      <c r="AJ45" s="54">
        <f>AH45-U45</f>
        <v>504611000</v>
      </c>
      <c r="AK45" s="55">
        <f>IFERROR(AJ45/ABS(U45),"")</f>
        <v>0.43500948275862067</v>
      </c>
      <c r="AL45" s="54">
        <f>SUM(V45:X45)-SUM(I45:K45)</f>
        <v>102972440</v>
      </c>
      <c r="AM45" s="54">
        <f>SUM(Y45:AA45)-SUM(L45:N45)</f>
        <v>123253690</v>
      </c>
      <c r="AN45" s="54">
        <f>SUM(AB45:AD45)-SUM(O45:Q45)</f>
        <v>129063640</v>
      </c>
      <c r="AO45" s="54">
        <f>SUM(AE45:AG45)-SUM(R45:T45)</f>
        <v>149321230</v>
      </c>
      <c r="AP45" s="55">
        <f>IFERROR(AL45/ABS(SUM(I45:K45)),"")</f>
        <v>0.61919687312086591</v>
      </c>
      <c r="AQ45" s="55">
        <f>IFERROR(AM45/ABS(SUM(L45:N45)),"")</f>
        <v>0.44901162112932602</v>
      </c>
      <c r="AR45" s="55">
        <f>IFERROR(AN45/ABS(SUM(O45:Q45)),"")</f>
        <v>0.42232866492146598</v>
      </c>
      <c r="AS45" s="55">
        <f>IFERROR(AO45/ABS(SUM(R45:T45)),"")</f>
        <v>0.36102811895551257</v>
      </c>
      <c r="AT45" s="52"/>
      <c r="AU45" s="56">
        <f>IFERROR(U45/$U$17,0)</f>
        <v>9.6666666666666665E-2</v>
      </c>
      <c r="AV45" s="56">
        <f>IFERROR(AH45/$AH$17,0)</f>
        <v>0.12189058770118477</v>
      </c>
      <c r="AW45" s="57">
        <f>(AV45-AU45)*100</f>
        <v>2.5223921034518106</v>
      </c>
    </row>
    <row r="46" spans="2:49" x14ac:dyDescent="0.4">
      <c r="B46" s="50" t="s">
        <v>112</v>
      </c>
      <c r="C46" s="47"/>
      <c r="D46" s="47" t="s">
        <v>83</v>
      </c>
      <c r="E46" s="47"/>
      <c r="F46" s="47"/>
      <c r="G46" s="80"/>
      <c r="H46" s="47"/>
      <c r="I46" s="48">
        <f t="shared" ref="I46:AH46" si="50">IFERROR(I45/I17,0)</f>
        <v>4.3499999999999997E-2</v>
      </c>
      <c r="J46" s="48">
        <f t="shared" si="50"/>
        <v>5.9294117647058824E-2</v>
      </c>
      <c r="K46" s="48">
        <f t="shared" si="50"/>
        <v>8.536842105263158E-2</v>
      </c>
      <c r="L46" s="48">
        <f t="shared" si="50"/>
        <v>8.536842105263158E-2</v>
      </c>
      <c r="M46" s="48">
        <f t="shared" si="50"/>
        <v>9.6699999999999994E-2</v>
      </c>
      <c r="N46" s="48">
        <f t="shared" si="50"/>
        <v>9.6699999999999994E-2</v>
      </c>
      <c r="O46" s="48">
        <f t="shared" si="50"/>
        <v>9.6699999999999994E-2</v>
      </c>
      <c r="P46" s="48">
        <f t="shared" si="50"/>
        <v>0.10685714285714286</v>
      </c>
      <c r="Q46" s="48">
        <f t="shared" si="50"/>
        <v>9.6699999999999994E-2</v>
      </c>
      <c r="R46" s="48">
        <f t="shared" si="50"/>
        <v>0.10685714285714286</v>
      </c>
      <c r="S46" s="48">
        <f t="shared" si="50"/>
        <v>0.12434782608695652</v>
      </c>
      <c r="T46" s="48">
        <f t="shared" si="50"/>
        <v>0.13200000000000001</v>
      </c>
      <c r="U46" s="85">
        <f t="shared" si="50"/>
        <v>9.6666666666666665E-2</v>
      </c>
      <c r="V46" s="48">
        <f t="shared" si="50"/>
        <v>7.1678298405166735E-2</v>
      </c>
      <c r="W46" s="48">
        <f t="shared" si="50"/>
        <v>8.6597745886281233E-2</v>
      </c>
      <c r="X46" s="48">
        <f t="shared" si="50"/>
        <v>0.11121883924256404</v>
      </c>
      <c r="Y46" s="48">
        <f t="shared" si="50"/>
        <v>0.11121883924256404</v>
      </c>
      <c r="Z46" s="48">
        <f t="shared" si="50"/>
        <v>0.12192334255964149</v>
      </c>
      <c r="AA46" s="48">
        <f t="shared" si="50"/>
        <v>0.12192334255964149</v>
      </c>
      <c r="AB46" s="48">
        <f t="shared" si="50"/>
        <v>0.12192334255964149</v>
      </c>
      <c r="AC46" s="48">
        <f t="shared" si="50"/>
        <v>0.13151478406045428</v>
      </c>
      <c r="AD46" s="48">
        <f t="shared" si="50"/>
        <v>0.12192334255964149</v>
      </c>
      <c r="AE46" s="48">
        <f t="shared" si="50"/>
        <v>0.13151478406045428</v>
      </c>
      <c r="AF46" s="48">
        <f t="shared" si="50"/>
        <v>0.14803356618777733</v>
      </c>
      <c r="AG46" s="48">
        <f t="shared" si="50"/>
        <v>0.15525626437034107</v>
      </c>
      <c r="AH46" s="85">
        <f t="shared" si="50"/>
        <v>0.12189058770118477</v>
      </c>
      <c r="AI46" s="47"/>
      <c r="AJ46" s="47"/>
      <c r="AK46" s="49">
        <f>(AH46-U46)*100</f>
        <v>2.5223921034518106</v>
      </c>
      <c r="AL46" s="49"/>
      <c r="AM46" s="49"/>
      <c r="AN46" s="49"/>
      <c r="AO46" s="49"/>
      <c r="AP46" s="49">
        <f>(IFERROR(SUM(V45:X45)/SUM(V17:X17),0)-IFERROR(SUM(I45:K45)/SUM(I17:K17),0))*100</f>
        <v>2.7041776926118559</v>
      </c>
      <c r="AQ46" s="49">
        <f>(IFERROR(SUM(Y45:AA45)/SUM(Y17:AA17),0)-IFERROR(SUM(L45:N45)/SUM(L17:N17),0))*100</f>
        <v>2.5425282169396199</v>
      </c>
      <c r="AR46" s="49">
        <f>(IFERROR(SUM(AB45:AD45)/SUM(AB17:AD17),0)-IFERROR(SUM(O45:Q45)/SUM(O17:Q17),0))*100</f>
        <v>2.5028592912380341</v>
      </c>
      <c r="AS46" s="49">
        <f>(IFERROR(SUM(AE45:AG45)/SUM(AE17:AG17),0)-IFERROR(SUM(R45:T45)/SUM(R17:T17),0))*100</f>
        <v>2.383430635995007</v>
      </c>
      <c r="AT46" s="47"/>
      <c r="AU46" s="47"/>
      <c r="AV46" s="47"/>
      <c r="AW46" s="47"/>
    </row>
    <row r="47" spans="2:49" x14ac:dyDescent="0.4">
      <c r="G47" s="74"/>
      <c r="U47" s="4"/>
      <c r="AH47" s="4"/>
    </row>
    <row r="48" spans="2:49" x14ac:dyDescent="0.4">
      <c r="B48" s="5" t="s">
        <v>113</v>
      </c>
      <c r="G48" s="74"/>
      <c r="U48" s="4"/>
      <c r="AH48" s="4"/>
    </row>
    <row r="49" spans="2:49" x14ac:dyDescent="0.4">
      <c r="B49" s="15" t="s">
        <v>114</v>
      </c>
      <c r="C49" s="16" t="s">
        <v>115</v>
      </c>
      <c r="D49" s="16" t="s">
        <v>87</v>
      </c>
      <c r="E49" s="16" t="s">
        <v>116</v>
      </c>
      <c r="F49" s="16" t="s">
        <v>117</v>
      </c>
      <c r="G49" s="75">
        <v>-0.1</v>
      </c>
      <c r="H49" s="7"/>
      <c r="I49" s="17">
        <v>21700000</v>
      </c>
      <c r="J49" s="17">
        <v>21700000</v>
      </c>
      <c r="K49" s="17">
        <v>21700000</v>
      </c>
      <c r="L49" s="17">
        <v>21700000</v>
      </c>
      <c r="M49" s="17">
        <v>21700000</v>
      </c>
      <c r="N49" s="17">
        <v>21700000</v>
      </c>
      <c r="O49" s="17">
        <v>21700000</v>
      </c>
      <c r="P49" s="17">
        <v>21700000</v>
      </c>
      <c r="Q49" s="17">
        <v>21700000</v>
      </c>
      <c r="R49" s="17">
        <v>21700000</v>
      </c>
      <c r="S49" s="17">
        <v>21700000</v>
      </c>
      <c r="T49" s="17">
        <v>21300000</v>
      </c>
      <c r="U49" s="84">
        <f>SUM(I49:T49)</f>
        <v>260000000</v>
      </c>
      <c r="V49" s="18">
        <f t="shared" ref="V49:AG50" si="51">I49*(1+$G49)</f>
        <v>19530000</v>
      </c>
      <c r="W49" s="18">
        <f t="shared" si="51"/>
        <v>19530000</v>
      </c>
      <c r="X49" s="18">
        <f t="shared" si="51"/>
        <v>19530000</v>
      </c>
      <c r="Y49" s="18">
        <f t="shared" si="51"/>
        <v>19530000</v>
      </c>
      <c r="Z49" s="18">
        <f t="shared" si="51"/>
        <v>19530000</v>
      </c>
      <c r="AA49" s="18">
        <f t="shared" si="51"/>
        <v>19530000</v>
      </c>
      <c r="AB49" s="18">
        <f t="shared" si="51"/>
        <v>19530000</v>
      </c>
      <c r="AC49" s="18">
        <f t="shared" si="51"/>
        <v>19530000</v>
      </c>
      <c r="AD49" s="18">
        <f t="shared" si="51"/>
        <v>19530000</v>
      </c>
      <c r="AE49" s="18">
        <f t="shared" si="51"/>
        <v>19530000</v>
      </c>
      <c r="AF49" s="18">
        <f t="shared" si="51"/>
        <v>19530000</v>
      </c>
      <c r="AG49" s="18">
        <f t="shared" si="51"/>
        <v>19170000</v>
      </c>
      <c r="AH49" s="84">
        <f>SUM(V49:AG49)</f>
        <v>234000000</v>
      </c>
      <c r="AI49" s="7"/>
      <c r="AJ49" s="19">
        <f>AH49-U49</f>
        <v>-26000000</v>
      </c>
      <c r="AK49" s="20">
        <f>IFERROR(AJ49/ABS(U49),"")</f>
        <v>-0.1</v>
      </c>
      <c r="AL49" s="19">
        <f>SUM(V49:X49)-SUM(I49:K49)</f>
        <v>-6510000</v>
      </c>
      <c r="AM49" s="19">
        <f>SUM(Y49:AA49)-SUM(L49:N49)</f>
        <v>-6510000</v>
      </c>
      <c r="AN49" s="19">
        <f>SUM(AB49:AD49)-SUM(O49:Q49)</f>
        <v>-6510000</v>
      </c>
      <c r="AO49" s="19">
        <f>SUM(AE49:AG49)-SUM(R49:T49)</f>
        <v>-6470000</v>
      </c>
      <c r="AP49" s="20">
        <f>IFERROR(AL49/ABS(SUM(I49:K49)),"")</f>
        <v>-0.1</v>
      </c>
      <c r="AQ49" s="20">
        <f>IFERROR(AM49/ABS(SUM(L49:N49)),"")</f>
        <v>-0.1</v>
      </c>
      <c r="AR49" s="20">
        <f>IFERROR(AN49/ABS(SUM(O49:Q49)),"")</f>
        <v>-0.1</v>
      </c>
      <c r="AS49" s="20">
        <f>IFERROR(AO49/ABS(SUM(R49:T49)),"")</f>
        <v>-0.1</v>
      </c>
      <c r="AT49" s="7"/>
      <c r="AU49" s="21">
        <f>IFERROR(U49/$U$17,0)</f>
        <v>2.1666666666666667E-2</v>
      </c>
      <c r="AV49" s="21">
        <f>IFERROR(AH49/$AH$17,0)</f>
        <v>1.7134572294714642E-2</v>
      </c>
      <c r="AW49" s="22">
        <f>(AV49-AU49)*100</f>
        <v>-0.45320943719520251</v>
      </c>
    </row>
    <row r="50" spans="2:49" x14ac:dyDescent="0.4">
      <c r="B50" s="27" t="s">
        <v>118</v>
      </c>
      <c r="C50" s="28" t="s">
        <v>115</v>
      </c>
      <c r="D50" s="28" t="s">
        <v>87</v>
      </c>
      <c r="E50" s="28" t="s">
        <v>116</v>
      </c>
      <c r="F50" s="28" t="s">
        <v>91</v>
      </c>
      <c r="G50" s="76">
        <f>pIPC</f>
        <v>0.04</v>
      </c>
      <c r="H50" s="29"/>
      <c r="I50" s="30">
        <v>4000000</v>
      </c>
      <c r="J50" s="30">
        <v>4000000</v>
      </c>
      <c r="K50" s="30">
        <v>4000000</v>
      </c>
      <c r="L50" s="30">
        <v>4000000</v>
      </c>
      <c r="M50" s="30">
        <v>4000000</v>
      </c>
      <c r="N50" s="30">
        <v>4000000</v>
      </c>
      <c r="O50" s="30">
        <v>4000000</v>
      </c>
      <c r="P50" s="30">
        <v>4000000</v>
      </c>
      <c r="Q50" s="30">
        <v>4000000</v>
      </c>
      <c r="R50" s="30">
        <v>4000000</v>
      </c>
      <c r="S50" s="30">
        <v>4000000</v>
      </c>
      <c r="T50" s="30">
        <v>4000000</v>
      </c>
      <c r="U50" s="39">
        <f>SUM(I50:T50)</f>
        <v>48000000</v>
      </c>
      <c r="V50" s="31">
        <f t="shared" si="51"/>
        <v>4160000</v>
      </c>
      <c r="W50" s="31">
        <f t="shared" si="51"/>
        <v>4160000</v>
      </c>
      <c r="X50" s="31">
        <f t="shared" si="51"/>
        <v>4160000</v>
      </c>
      <c r="Y50" s="31">
        <f t="shared" si="51"/>
        <v>4160000</v>
      </c>
      <c r="Z50" s="31">
        <f t="shared" si="51"/>
        <v>4160000</v>
      </c>
      <c r="AA50" s="31">
        <f t="shared" si="51"/>
        <v>4160000</v>
      </c>
      <c r="AB50" s="31">
        <f t="shared" si="51"/>
        <v>4160000</v>
      </c>
      <c r="AC50" s="31">
        <f t="shared" si="51"/>
        <v>4160000</v>
      </c>
      <c r="AD50" s="31">
        <f t="shared" si="51"/>
        <v>4160000</v>
      </c>
      <c r="AE50" s="31">
        <f t="shared" si="51"/>
        <v>4160000</v>
      </c>
      <c r="AF50" s="31">
        <f t="shared" si="51"/>
        <v>4160000</v>
      </c>
      <c r="AG50" s="31">
        <f t="shared" si="51"/>
        <v>4160000</v>
      </c>
      <c r="AH50" s="39">
        <f>SUM(V50:AG50)</f>
        <v>49920000</v>
      </c>
      <c r="AI50" s="29"/>
      <c r="AJ50" s="32">
        <f>AH50-U50</f>
        <v>1920000</v>
      </c>
      <c r="AK50" s="33">
        <f>IFERROR(AJ50/ABS(U50),"")</f>
        <v>0.04</v>
      </c>
      <c r="AL50" s="32">
        <f>SUM(V50:X50)-SUM(I50:K50)</f>
        <v>480000</v>
      </c>
      <c r="AM50" s="32">
        <f>SUM(Y50:AA50)-SUM(L50:N50)</f>
        <v>480000</v>
      </c>
      <c r="AN50" s="32">
        <f>SUM(AB50:AD50)-SUM(O50:Q50)</f>
        <v>480000</v>
      </c>
      <c r="AO50" s="32">
        <f>SUM(AE50:AG50)-SUM(R50:T50)</f>
        <v>480000</v>
      </c>
      <c r="AP50" s="33">
        <f>IFERROR(AL50/ABS(SUM(I50:K50)),"")</f>
        <v>0.04</v>
      </c>
      <c r="AQ50" s="33">
        <f>IFERROR(AM50/ABS(SUM(L50:N50)),"")</f>
        <v>0.04</v>
      </c>
      <c r="AR50" s="33">
        <f>IFERROR(AN50/ABS(SUM(O50:Q50)),"")</f>
        <v>0.04</v>
      </c>
      <c r="AS50" s="33">
        <f>IFERROR(AO50/ABS(SUM(R50:T50)),"")</f>
        <v>0.04</v>
      </c>
      <c r="AT50" s="29"/>
      <c r="AU50" s="34">
        <f>IFERROR(U50/$U$17,0)</f>
        <v>4.0000000000000001E-3</v>
      </c>
      <c r="AV50" s="34">
        <f>IFERROR(AH50/$AH$17,0)</f>
        <v>3.6553754228724573E-3</v>
      </c>
      <c r="AW50" s="35">
        <f>(AV50-AU50)*100</f>
        <v>-3.4462457712754274E-2</v>
      </c>
    </row>
    <row r="51" spans="2:49" x14ac:dyDescent="0.4">
      <c r="B51" s="36" t="s">
        <v>119</v>
      </c>
      <c r="C51" s="36"/>
      <c r="D51" s="36" t="s">
        <v>87</v>
      </c>
      <c r="E51" s="36"/>
      <c r="F51" s="36"/>
      <c r="G51" s="77"/>
      <c r="H51" s="36"/>
      <c r="I51" s="37">
        <f t="shared" ref="I51:T51" si="52">SUM(I49:I50)</f>
        <v>25700000</v>
      </c>
      <c r="J51" s="37">
        <f t="shared" si="52"/>
        <v>25700000</v>
      </c>
      <c r="K51" s="37">
        <f t="shared" si="52"/>
        <v>25700000</v>
      </c>
      <c r="L51" s="37">
        <f t="shared" si="52"/>
        <v>25700000</v>
      </c>
      <c r="M51" s="37">
        <f t="shared" si="52"/>
        <v>25700000</v>
      </c>
      <c r="N51" s="37">
        <f t="shared" si="52"/>
        <v>25700000</v>
      </c>
      <c r="O51" s="37">
        <f t="shared" si="52"/>
        <v>25700000</v>
      </c>
      <c r="P51" s="37">
        <f t="shared" si="52"/>
        <v>25700000</v>
      </c>
      <c r="Q51" s="37">
        <f t="shared" si="52"/>
        <v>25700000</v>
      </c>
      <c r="R51" s="37">
        <f t="shared" si="52"/>
        <v>25700000</v>
      </c>
      <c r="S51" s="37">
        <f t="shared" si="52"/>
        <v>25700000</v>
      </c>
      <c r="T51" s="37">
        <f t="shared" si="52"/>
        <v>25300000</v>
      </c>
      <c r="U51" s="37">
        <f>SUM(I51:T51)</f>
        <v>308000000</v>
      </c>
      <c r="V51" s="37">
        <f t="shared" ref="V51:AG51" si="53">SUM(V49:V50)</f>
        <v>23690000</v>
      </c>
      <c r="W51" s="37">
        <f t="shared" si="53"/>
        <v>23690000</v>
      </c>
      <c r="X51" s="37">
        <f t="shared" si="53"/>
        <v>23690000</v>
      </c>
      <c r="Y51" s="37">
        <f t="shared" si="53"/>
        <v>23690000</v>
      </c>
      <c r="Z51" s="37">
        <f t="shared" si="53"/>
        <v>23690000</v>
      </c>
      <c r="AA51" s="37">
        <f t="shared" si="53"/>
        <v>23690000</v>
      </c>
      <c r="AB51" s="37">
        <f t="shared" si="53"/>
        <v>23690000</v>
      </c>
      <c r="AC51" s="37">
        <f t="shared" si="53"/>
        <v>23690000</v>
      </c>
      <c r="AD51" s="37">
        <f t="shared" si="53"/>
        <v>23690000</v>
      </c>
      <c r="AE51" s="37">
        <f t="shared" si="53"/>
        <v>23690000</v>
      </c>
      <c r="AF51" s="37">
        <f t="shared" si="53"/>
        <v>23690000</v>
      </c>
      <c r="AG51" s="37">
        <f t="shared" si="53"/>
        <v>23330000</v>
      </c>
      <c r="AH51" s="37">
        <f>SUM(V51:AG51)</f>
        <v>283920000</v>
      </c>
      <c r="AI51" s="9"/>
      <c r="AJ51" s="23">
        <f>AH51-U51</f>
        <v>-24080000</v>
      </c>
      <c r="AK51" s="24">
        <f>IFERROR(AJ51/ABS(U51),"")</f>
        <v>-7.8181818181818186E-2</v>
      </c>
      <c r="AL51" s="23">
        <f>SUM(V51:X51)-SUM(I51:K51)</f>
        <v>-6030000</v>
      </c>
      <c r="AM51" s="23">
        <f>SUM(Y51:AA51)-SUM(L51:N51)</f>
        <v>-6030000</v>
      </c>
      <c r="AN51" s="23">
        <f>SUM(AB51:AD51)-SUM(O51:Q51)</f>
        <v>-6030000</v>
      </c>
      <c r="AO51" s="23">
        <f>SUM(AE51:AG51)-SUM(R51:T51)</f>
        <v>-5990000</v>
      </c>
      <c r="AP51" s="24">
        <f>IFERROR(AL51/ABS(SUM(I51:K51)),"")</f>
        <v>-7.8210116731517509E-2</v>
      </c>
      <c r="AQ51" s="24">
        <f>IFERROR(AM51/ABS(SUM(L51:N51)),"")</f>
        <v>-7.8210116731517509E-2</v>
      </c>
      <c r="AR51" s="24">
        <f>IFERROR(AN51/ABS(SUM(O51:Q51)),"")</f>
        <v>-7.8210116731517509E-2</v>
      </c>
      <c r="AS51" s="24">
        <f>IFERROR(AO51/ABS(SUM(R51:T51)),"")</f>
        <v>-7.8096479791395043E-2</v>
      </c>
      <c r="AT51" s="9"/>
      <c r="AU51" s="25">
        <f>IFERROR(U51/$U$17,0)</f>
        <v>2.5666666666666667E-2</v>
      </c>
      <c r="AV51" s="25">
        <f>IFERROR(AH51/$AH$17,0)</f>
        <v>2.07899477175871E-2</v>
      </c>
      <c r="AW51" s="26">
        <f>(AV51-AU51)*100</f>
        <v>-0.4876718949079567</v>
      </c>
    </row>
    <row r="52" spans="2:49" x14ac:dyDescent="0.4">
      <c r="B52" s="5" t="s">
        <v>120</v>
      </c>
      <c r="G52" s="74"/>
      <c r="U52" s="4"/>
      <c r="AH52" s="4"/>
    </row>
    <row r="53" spans="2:49" x14ac:dyDescent="0.4">
      <c r="B53" s="15" t="s">
        <v>121</v>
      </c>
      <c r="C53" s="16" t="s">
        <v>122</v>
      </c>
      <c r="D53" s="16" t="s">
        <v>65</v>
      </c>
      <c r="E53" s="16" t="s">
        <v>116</v>
      </c>
      <c r="F53" s="16" t="s">
        <v>91</v>
      </c>
      <c r="G53" s="75">
        <f>pIPC</f>
        <v>0.04</v>
      </c>
      <c r="H53" s="7"/>
      <c r="I53" s="17">
        <v>5000000</v>
      </c>
      <c r="J53" s="17">
        <v>5000000</v>
      </c>
      <c r="K53" s="17">
        <v>5000000</v>
      </c>
      <c r="L53" s="17">
        <v>5000000</v>
      </c>
      <c r="M53" s="17">
        <v>5000000</v>
      </c>
      <c r="N53" s="17">
        <v>5000000</v>
      </c>
      <c r="O53" s="17">
        <v>5000000</v>
      </c>
      <c r="P53" s="17">
        <v>5000000</v>
      </c>
      <c r="Q53" s="17">
        <v>5000000</v>
      </c>
      <c r="R53" s="17">
        <v>5000000</v>
      </c>
      <c r="S53" s="17">
        <v>5000000</v>
      </c>
      <c r="T53" s="17">
        <v>5000000</v>
      </c>
      <c r="U53" s="84">
        <f>SUM(I53:T53)</f>
        <v>60000000</v>
      </c>
      <c r="V53" s="18">
        <f t="shared" ref="V53:AG53" si="54">I53*(1+$G53)</f>
        <v>5200000</v>
      </c>
      <c r="W53" s="18">
        <f t="shared" si="54"/>
        <v>5200000</v>
      </c>
      <c r="X53" s="18">
        <f t="shared" si="54"/>
        <v>5200000</v>
      </c>
      <c r="Y53" s="18">
        <f t="shared" si="54"/>
        <v>5200000</v>
      </c>
      <c r="Z53" s="18">
        <f t="shared" si="54"/>
        <v>5200000</v>
      </c>
      <c r="AA53" s="18">
        <f t="shared" si="54"/>
        <v>5200000</v>
      </c>
      <c r="AB53" s="18">
        <f t="shared" si="54"/>
        <v>5200000</v>
      </c>
      <c r="AC53" s="18">
        <f t="shared" si="54"/>
        <v>5200000</v>
      </c>
      <c r="AD53" s="18">
        <f t="shared" si="54"/>
        <v>5200000</v>
      </c>
      <c r="AE53" s="18">
        <f t="shared" si="54"/>
        <v>5200000</v>
      </c>
      <c r="AF53" s="18">
        <f t="shared" si="54"/>
        <v>5200000</v>
      </c>
      <c r="AG53" s="18">
        <f t="shared" si="54"/>
        <v>5200000</v>
      </c>
      <c r="AH53" s="84">
        <f>SUM(V53:AG53)</f>
        <v>62400000</v>
      </c>
      <c r="AI53" s="7"/>
      <c r="AJ53" s="19">
        <f>AH53-U53</f>
        <v>2400000</v>
      </c>
      <c r="AK53" s="20">
        <f>IFERROR(AJ53/ABS(U53),"")</f>
        <v>0.04</v>
      </c>
      <c r="AL53" s="19">
        <f>SUM(V53:X53)-SUM(I53:K53)</f>
        <v>600000</v>
      </c>
      <c r="AM53" s="19">
        <f>SUM(Y53:AA53)-SUM(L53:N53)</f>
        <v>600000</v>
      </c>
      <c r="AN53" s="19">
        <f>SUM(AB53:AD53)-SUM(O53:Q53)</f>
        <v>600000</v>
      </c>
      <c r="AO53" s="19">
        <f>SUM(AE53:AG53)-SUM(R53:T53)</f>
        <v>600000</v>
      </c>
      <c r="AP53" s="20">
        <f>IFERROR(AL53/ABS(SUM(I53:K53)),"")</f>
        <v>0.04</v>
      </c>
      <c r="AQ53" s="20">
        <f>IFERROR(AM53/ABS(SUM(L53:N53)),"")</f>
        <v>0.04</v>
      </c>
      <c r="AR53" s="20">
        <f>IFERROR(AN53/ABS(SUM(O53:Q53)),"")</f>
        <v>0.04</v>
      </c>
      <c r="AS53" s="20">
        <f>IFERROR(AO53/ABS(SUM(R53:T53)),"")</f>
        <v>0.04</v>
      </c>
      <c r="AT53" s="7"/>
      <c r="AU53" s="21">
        <f>IFERROR(U53/$U$17,0)</f>
        <v>5.0000000000000001E-3</v>
      </c>
      <c r="AV53" s="21">
        <f>IFERROR(AH53/$AH$17,0)</f>
        <v>4.5692192785905719E-3</v>
      </c>
      <c r="AW53" s="22">
        <f>(AV53-AU53)*100</f>
        <v>-4.3078072140942822E-2</v>
      </c>
    </row>
    <row r="54" spans="2:49" x14ac:dyDescent="0.4">
      <c r="B54" s="36" t="s">
        <v>123</v>
      </c>
      <c r="C54" s="36"/>
      <c r="D54" s="36" t="s">
        <v>65</v>
      </c>
      <c r="E54" s="36"/>
      <c r="F54" s="36"/>
      <c r="G54" s="77"/>
      <c r="H54" s="36"/>
      <c r="I54" s="37">
        <f t="shared" ref="I54:T54" si="55">SUM(I53:I53)</f>
        <v>5000000</v>
      </c>
      <c r="J54" s="37">
        <f t="shared" si="55"/>
        <v>5000000</v>
      </c>
      <c r="K54" s="37">
        <f t="shared" si="55"/>
        <v>5000000</v>
      </c>
      <c r="L54" s="37">
        <f t="shared" si="55"/>
        <v>5000000</v>
      </c>
      <c r="M54" s="37">
        <f t="shared" si="55"/>
        <v>5000000</v>
      </c>
      <c r="N54" s="37">
        <f t="shared" si="55"/>
        <v>5000000</v>
      </c>
      <c r="O54" s="37">
        <f t="shared" si="55"/>
        <v>5000000</v>
      </c>
      <c r="P54" s="37">
        <f t="shared" si="55"/>
        <v>5000000</v>
      </c>
      <c r="Q54" s="37">
        <f t="shared" si="55"/>
        <v>5000000</v>
      </c>
      <c r="R54" s="37">
        <f t="shared" si="55"/>
        <v>5000000</v>
      </c>
      <c r="S54" s="37">
        <f t="shared" si="55"/>
        <v>5000000</v>
      </c>
      <c r="T54" s="37">
        <f t="shared" si="55"/>
        <v>5000000</v>
      </c>
      <c r="U54" s="37">
        <f>SUM(I54:T54)</f>
        <v>60000000</v>
      </c>
      <c r="V54" s="37">
        <f t="shared" ref="V54:AG54" si="56">SUM(V53:V53)</f>
        <v>5200000</v>
      </c>
      <c r="W54" s="37">
        <f t="shared" si="56"/>
        <v>5200000</v>
      </c>
      <c r="X54" s="37">
        <f t="shared" si="56"/>
        <v>5200000</v>
      </c>
      <c r="Y54" s="37">
        <f t="shared" si="56"/>
        <v>5200000</v>
      </c>
      <c r="Z54" s="37">
        <f t="shared" si="56"/>
        <v>5200000</v>
      </c>
      <c r="AA54" s="37">
        <f t="shared" si="56"/>
        <v>5200000</v>
      </c>
      <c r="AB54" s="37">
        <f t="shared" si="56"/>
        <v>5200000</v>
      </c>
      <c r="AC54" s="37">
        <f t="shared" si="56"/>
        <v>5200000</v>
      </c>
      <c r="AD54" s="37">
        <f t="shared" si="56"/>
        <v>5200000</v>
      </c>
      <c r="AE54" s="37">
        <f t="shared" si="56"/>
        <v>5200000</v>
      </c>
      <c r="AF54" s="37">
        <f t="shared" si="56"/>
        <v>5200000</v>
      </c>
      <c r="AG54" s="37">
        <f t="shared" si="56"/>
        <v>5200000</v>
      </c>
      <c r="AH54" s="37">
        <f>SUM(V54:AG54)</f>
        <v>62400000</v>
      </c>
      <c r="AI54" s="9"/>
      <c r="AJ54" s="23">
        <f>AH54-U54</f>
        <v>2400000</v>
      </c>
      <c r="AK54" s="24">
        <f>IFERROR(AJ54/ABS(U54),"")</f>
        <v>0.04</v>
      </c>
      <c r="AL54" s="23">
        <f>SUM(V54:X54)-SUM(I54:K54)</f>
        <v>600000</v>
      </c>
      <c r="AM54" s="23">
        <f>SUM(Y54:AA54)-SUM(L54:N54)</f>
        <v>600000</v>
      </c>
      <c r="AN54" s="23">
        <f>SUM(AB54:AD54)-SUM(O54:Q54)</f>
        <v>600000</v>
      </c>
      <c r="AO54" s="23">
        <f>SUM(AE54:AG54)-SUM(R54:T54)</f>
        <v>600000</v>
      </c>
      <c r="AP54" s="24">
        <f>IFERROR(AL54/ABS(SUM(I54:K54)),"")</f>
        <v>0.04</v>
      </c>
      <c r="AQ54" s="24">
        <f>IFERROR(AM54/ABS(SUM(L54:N54)),"")</f>
        <v>0.04</v>
      </c>
      <c r="AR54" s="24">
        <f>IFERROR(AN54/ABS(SUM(O54:Q54)),"")</f>
        <v>0.04</v>
      </c>
      <c r="AS54" s="24">
        <f>IFERROR(AO54/ABS(SUM(R54:T54)),"")</f>
        <v>0.04</v>
      </c>
      <c r="AT54" s="9"/>
      <c r="AU54" s="25">
        <f>IFERROR(U54/$U$17,0)</f>
        <v>5.0000000000000001E-3</v>
      </c>
      <c r="AV54" s="25">
        <f>IFERROR(AH54/$AH$17,0)</f>
        <v>4.5692192785905719E-3</v>
      </c>
      <c r="AW54" s="26">
        <f>(AV54-AU54)*100</f>
        <v>-4.3078072140942822E-2</v>
      </c>
    </row>
    <row r="55" spans="2:49" x14ac:dyDescent="0.4">
      <c r="B55" s="5" t="s">
        <v>124</v>
      </c>
      <c r="G55" s="74"/>
      <c r="U55" s="4"/>
      <c r="AH55" s="4"/>
    </row>
    <row r="56" spans="2:49" x14ac:dyDescent="0.4">
      <c r="B56" s="15" t="s">
        <v>125</v>
      </c>
      <c r="C56" s="16" t="s">
        <v>126</v>
      </c>
      <c r="D56" s="16" t="s">
        <v>87</v>
      </c>
      <c r="E56" s="16" t="s">
        <v>116</v>
      </c>
      <c r="F56" s="16" t="s">
        <v>96</v>
      </c>
      <c r="G56" s="75">
        <v>0</v>
      </c>
      <c r="H56" s="7"/>
      <c r="I56" s="17">
        <v>3300000</v>
      </c>
      <c r="J56" s="17">
        <v>3300000</v>
      </c>
      <c r="K56" s="17">
        <v>3300000</v>
      </c>
      <c r="L56" s="17">
        <v>3300000</v>
      </c>
      <c r="M56" s="17">
        <v>3300000</v>
      </c>
      <c r="N56" s="17">
        <v>3300000</v>
      </c>
      <c r="O56" s="17">
        <v>3300000</v>
      </c>
      <c r="P56" s="17">
        <v>3300000</v>
      </c>
      <c r="Q56" s="17">
        <v>3300000</v>
      </c>
      <c r="R56" s="17">
        <v>3300000</v>
      </c>
      <c r="S56" s="17">
        <v>3300000</v>
      </c>
      <c r="T56" s="17">
        <v>3700000</v>
      </c>
      <c r="U56" s="84">
        <f>SUM(I56:T56)</f>
        <v>40000000</v>
      </c>
      <c r="V56" s="18">
        <f t="shared" ref="V56:AG56" si="57">I56*(1+$G56)</f>
        <v>3300000</v>
      </c>
      <c r="W56" s="18">
        <f t="shared" si="57"/>
        <v>3300000</v>
      </c>
      <c r="X56" s="18">
        <f t="shared" si="57"/>
        <v>3300000</v>
      </c>
      <c r="Y56" s="18">
        <f t="shared" si="57"/>
        <v>3300000</v>
      </c>
      <c r="Z56" s="18">
        <f t="shared" si="57"/>
        <v>3300000</v>
      </c>
      <c r="AA56" s="18">
        <f t="shared" si="57"/>
        <v>3300000</v>
      </c>
      <c r="AB56" s="18">
        <f t="shared" si="57"/>
        <v>3300000</v>
      </c>
      <c r="AC56" s="18">
        <f t="shared" si="57"/>
        <v>3300000</v>
      </c>
      <c r="AD56" s="18">
        <f t="shared" si="57"/>
        <v>3300000</v>
      </c>
      <c r="AE56" s="18">
        <f t="shared" si="57"/>
        <v>3300000</v>
      </c>
      <c r="AF56" s="18">
        <f t="shared" si="57"/>
        <v>3300000</v>
      </c>
      <c r="AG56" s="18">
        <f t="shared" si="57"/>
        <v>3700000</v>
      </c>
      <c r="AH56" s="84">
        <f>SUM(V56:AG56)</f>
        <v>40000000</v>
      </c>
      <c r="AI56" s="7"/>
      <c r="AJ56" s="19">
        <f>AH56-U56</f>
        <v>0</v>
      </c>
      <c r="AK56" s="20">
        <f>IFERROR(AJ56/ABS(U56),"")</f>
        <v>0</v>
      </c>
      <c r="AL56" s="19">
        <f>SUM(V56:X56)-SUM(I56:K56)</f>
        <v>0</v>
      </c>
      <c r="AM56" s="19">
        <f>SUM(Y56:AA56)-SUM(L56:N56)</f>
        <v>0</v>
      </c>
      <c r="AN56" s="19">
        <f>SUM(AB56:AD56)-SUM(O56:Q56)</f>
        <v>0</v>
      </c>
      <c r="AO56" s="19">
        <f>SUM(AE56:AG56)-SUM(R56:T56)</f>
        <v>0</v>
      </c>
      <c r="AP56" s="20">
        <f>IFERROR(AL56/ABS(SUM(I56:K56)),"")</f>
        <v>0</v>
      </c>
      <c r="AQ56" s="20">
        <f>IFERROR(AM56/ABS(SUM(L56:N56)),"")</f>
        <v>0</v>
      </c>
      <c r="AR56" s="20">
        <f>IFERROR(AN56/ABS(SUM(O56:Q56)),"")</f>
        <v>0</v>
      </c>
      <c r="AS56" s="20">
        <f>IFERROR(AO56/ABS(SUM(R56:T56)),"")</f>
        <v>0</v>
      </c>
      <c r="AT56" s="7"/>
      <c r="AU56" s="21">
        <f>IFERROR(U56/$U$17,0)</f>
        <v>3.3333333333333335E-3</v>
      </c>
      <c r="AV56" s="21">
        <f>IFERROR(AH56/$AH$17,0)</f>
        <v>2.928986717045238E-3</v>
      </c>
      <c r="AW56" s="22">
        <f>(AV56-AU56)*100</f>
        <v>-4.043466162880955E-2</v>
      </c>
    </row>
    <row r="57" spans="2:49" x14ac:dyDescent="0.4">
      <c r="B57" s="38" t="s">
        <v>127</v>
      </c>
      <c r="C57" s="38"/>
      <c r="D57" s="38" t="s">
        <v>87</v>
      </c>
      <c r="E57" s="38"/>
      <c r="F57" s="38"/>
      <c r="G57" s="78"/>
      <c r="H57" s="38"/>
      <c r="I57" s="39">
        <f t="shared" ref="I57:T57" si="58">SUM(I56:I56)</f>
        <v>3300000</v>
      </c>
      <c r="J57" s="39">
        <f t="shared" si="58"/>
        <v>3300000</v>
      </c>
      <c r="K57" s="39">
        <f t="shared" si="58"/>
        <v>3300000</v>
      </c>
      <c r="L57" s="39">
        <f t="shared" si="58"/>
        <v>3300000</v>
      </c>
      <c r="M57" s="39">
        <f t="shared" si="58"/>
        <v>3300000</v>
      </c>
      <c r="N57" s="39">
        <f t="shared" si="58"/>
        <v>3300000</v>
      </c>
      <c r="O57" s="39">
        <f t="shared" si="58"/>
        <v>3300000</v>
      </c>
      <c r="P57" s="39">
        <f t="shared" si="58"/>
        <v>3300000</v>
      </c>
      <c r="Q57" s="39">
        <f t="shared" si="58"/>
        <v>3300000</v>
      </c>
      <c r="R57" s="39">
        <f t="shared" si="58"/>
        <v>3300000</v>
      </c>
      <c r="S57" s="39">
        <f t="shared" si="58"/>
        <v>3300000</v>
      </c>
      <c r="T57" s="39">
        <f t="shared" si="58"/>
        <v>3700000</v>
      </c>
      <c r="U57" s="39">
        <f>SUM(I57:T57)</f>
        <v>40000000</v>
      </c>
      <c r="V57" s="39">
        <f t="shared" ref="V57:AG57" si="59">SUM(V56:V56)</f>
        <v>3300000</v>
      </c>
      <c r="W57" s="39">
        <f t="shared" si="59"/>
        <v>3300000</v>
      </c>
      <c r="X57" s="39">
        <f t="shared" si="59"/>
        <v>3300000</v>
      </c>
      <c r="Y57" s="39">
        <f t="shared" si="59"/>
        <v>3300000</v>
      </c>
      <c r="Z57" s="39">
        <f t="shared" si="59"/>
        <v>3300000</v>
      </c>
      <c r="AA57" s="39">
        <f t="shared" si="59"/>
        <v>3300000</v>
      </c>
      <c r="AB57" s="39">
        <f t="shared" si="59"/>
        <v>3300000</v>
      </c>
      <c r="AC57" s="39">
        <f t="shared" si="59"/>
        <v>3300000</v>
      </c>
      <c r="AD57" s="39">
        <f t="shared" si="59"/>
        <v>3300000</v>
      </c>
      <c r="AE57" s="39">
        <f t="shared" si="59"/>
        <v>3300000</v>
      </c>
      <c r="AF57" s="39">
        <f t="shared" si="59"/>
        <v>3300000</v>
      </c>
      <c r="AG57" s="39">
        <f t="shared" si="59"/>
        <v>3700000</v>
      </c>
      <c r="AH57" s="39">
        <f>SUM(V57:AG57)</f>
        <v>40000000</v>
      </c>
      <c r="AI57" s="29"/>
      <c r="AJ57" s="32">
        <f>AH57-U57</f>
        <v>0</v>
      </c>
      <c r="AK57" s="33">
        <f>IFERROR(AJ57/ABS(U57),"")</f>
        <v>0</v>
      </c>
      <c r="AL57" s="32">
        <f>SUM(V57:X57)-SUM(I57:K57)</f>
        <v>0</v>
      </c>
      <c r="AM57" s="32">
        <f>SUM(Y57:AA57)-SUM(L57:N57)</f>
        <v>0</v>
      </c>
      <c r="AN57" s="32">
        <f>SUM(AB57:AD57)-SUM(O57:Q57)</f>
        <v>0</v>
      </c>
      <c r="AO57" s="32">
        <f>SUM(AE57:AG57)-SUM(R57:T57)</f>
        <v>0</v>
      </c>
      <c r="AP57" s="33">
        <f>IFERROR(AL57/ABS(SUM(I57:K57)),"")</f>
        <v>0</v>
      </c>
      <c r="AQ57" s="33">
        <f>IFERROR(AM57/ABS(SUM(L57:N57)),"")</f>
        <v>0</v>
      </c>
      <c r="AR57" s="33">
        <f>IFERROR(AN57/ABS(SUM(O57:Q57)),"")</f>
        <v>0</v>
      </c>
      <c r="AS57" s="33">
        <f>IFERROR(AO57/ABS(SUM(R57:T57)),"")</f>
        <v>0</v>
      </c>
      <c r="AT57" s="29"/>
      <c r="AU57" s="34">
        <f>IFERROR(U57/$U$17,0)</f>
        <v>3.3333333333333335E-3</v>
      </c>
      <c r="AV57" s="34">
        <f>IFERROR(AH57/$AH$17,0)</f>
        <v>2.928986717045238E-3</v>
      </c>
      <c r="AW57" s="35">
        <f>(AV57-AU57)*100</f>
        <v>-4.043466162880955E-2</v>
      </c>
    </row>
    <row r="58" spans="2:49" x14ac:dyDescent="0.4">
      <c r="B58" s="58" t="s">
        <v>128</v>
      </c>
      <c r="C58" s="58"/>
      <c r="D58" s="58" t="s">
        <v>81</v>
      </c>
      <c r="E58" s="58"/>
      <c r="F58" s="58"/>
      <c r="G58" s="82"/>
      <c r="H58" s="58"/>
      <c r="I58" s="59">
        <f t="shared" ref="I58:T58" si="60">I43-I51+I54-I57</f>
        <v>-4200000</v>
      </c>
      <c r="J58" s="59">
        <f t="shared" si="60"/>
        <v>11400000</v>
      </c>
      <c r="K58" s="59">
        <f t="shared" si="60"/>
        <v>42100000</v>
      </c>
      <c r="L58" s="59">
        <f t="shared" si="60"/>
        <v>42100000</v>
      </c>
      <c r="M58" s="59">
        <f t="shared" si="60"/>
        <v>57700000</v>
      </c>
      <c r="N58" s="59">
        <f t="shared" si="60"/>
        <v>57700000</v>
      </c>
      <c r="O58" s="59">
        <f t="shared" si="60"/>
        <v>57700000</v>
      </c>
      <c r="P58" s="59">
        <f t="shared" si="60"/>
        <v>73200000</v>
      </c>
      <c r="Q58" s="59">
        <f t="shared" si="60"/>
        <v>57700000</v>
      </c>
      <c r="R58" s="59">
        <f t="shared" si="60"/>
        <v>73200000</v>
      </c>
      <c r="S58" s="59">
        <f t="shared" si="60"/>
        <v>104000000</v>
      </c>
      <c r="T58" s="59">
        <f t="shared" si="60"/>
        <v>119400000</v>
      </c>
      <c r="U58" s="59">
        <f>SUM(I58:T58)</f>
        <v>692000000</v>
      </c>
      <c r="V58" s="59">
        <f t="shared" ref="V58:AG58" si="61">V43-V51+V54-V57</f>
        <v>28468790</v>
      </c>
      <c r="W58" s="59">
        <f t="shared" si="61"/>
        <v>46979680</v>
      </c>
      <c r="X58" s="59">
        <f t="shared" si="61"/>
        <v>83453970</v>
      </c>
      <c r="Y58" s="59">
        <f t="shared" si="61"/>
        <v>83453970</v>
      </c>
      <c r="Z58" s="59">
        <f t="shared" si="61"/>
        <v>101964860</v>
      </c>
      <c r="AA58" s="59">
        <f t="shared" si="61"/>
        <v>101964860</v>
      </c>
      <c r="AB58" s="59">
        <f t="shared" si="61"/>
        <v>101964860</v>
      </c>
      <c r="AC58" s="59">
        <f t="shared" si="61"/>
        <v>120363920</v>
      </c>
      <c r="AD58" s="59">
        <f t="shared" si="61"/>
        <v>101964860</v>
      </c>
      <c r="AE58" s="59">
        <f t="shared" si="61"/>
        <v>120363920</v>
      </c>
      <c r="AF58" s="59">
        <f t="shared" si="61"/>
        <v>156950040</v>
      </c>
      <c r="AG58" s="59">
        <f t="shared" si="61"/>
        <v>175197270</v>
      </c>
      <c r="AH58" s="59">
        <f>SUM(V58:AG58)</f>
        <v>1223091000</v>
      </c>
      <c r="AI58" s="60"/>
      <c r="AJ58" s="61">
        <f>AH58-U58</f>
        <v>531091000</v>
      </c>
      <c r="AK58" s="62">
        <f>IFERROR(AJ58/ABS(U58),"")</f>
        <v>0.76747254335260118</v>
      </c>
      <c r="AL58" s="61">
        <f>SUM(V58:X58)-SUM(I58:K58)</f>
        <v>109602440</v>
      </c>
      <c r="AM58" s="61">
        <f>SUM(Y58:AA58)-SUM(L58:N58)</f>
        <v>129883690</v>
      </c>
      <c r="AN58" s="61">
        <f>SUM(AB58:AD58)-SUM(O58:Q58)</f>
        <v>135693640</v>
      </c>
      <c r="AO58" s="61">
        <f>SUM(AE58:AG58)-SUM(R58:T58)</f>
        <v>155911230</v>
      </c>
      <c r="AP58" s="62">
        <f>IFERROR(AL58/ABS(SUM(I58:K58)),"")</f>
        <v>2.2231732251521299</v>
      </c>
      <c r="AQ58" s="62">
        <f>IFERROR(AM58/ABS(SUM(L58:N58)),"")</f>
        <v>0.82465834920634917</v>
      </c>
      <c r="AR58" s="62">
        <f>IFERROR(AN58/ABS(SUM(O58:Q58)),"")</f>
        <v>0.71947847295864265</v>
      </c>
      <c r="AS58" s="62">
        <f>IFERROR(AO58/ABS(SUM(R58:T58)),"")</f>
        <v>0.52566159811193525</v>
      </c>
      <c r="AT58" s="60"/>
      <c r="AU58" s="63">
        <f>IFERROR(U58/$U$17,0)</f>
        <v>5.7666666666666665E-2</v>
      </c>
      <c r="AV58" s="63">
        <f>IFERROR(AH58/$AH$17,0)</f>
        <v>8.9560432318439437E-2</v>
      </c>
      <c r="AW58" s="64">
        <f>(AV58-AU58)*100</f>
        <v>3.1893765651772772</v>
      </c>
    </row>
    <row r="59" spans="2:49" x14ac:dyDescent="0.4">
      <c r="B59" s="29" t="s">
        <v>129</v>
      </c>
      <c r="C59" s="29"/>
      <c r="D59" s="29" t="s">
        <v>87</v>
      </c>
      <c r="E59" s="29"/>
      <c r="F59" s="65" t="s">
        <v>130</v>
      </c>
      <c r="G59" s="66">
        <v>0.35</v>
      </c>
      <c r="H59" s="29"/>
      <c r="I59" s="31">
        <f t="shared" ref="I59:T59" si="62">I58*_xlfn.SINGLE(pTasaRenta)</f>
        <v>-1470000</v>
      </c>
      <c r="J59" s="31">
        <f t="shared" si="62"/>
        <v>3989999.9999999995</v>
      </c>
      <c r="K59" s="31">
        <f t="shared" si="62"/>
        <v>14734999.999999998</v>
      </c>
      <c r="L59" s="31">
        <f t="shared" si="62"/>
        <v>14734999.999999998</v>
      </c>
      <c r="M59" s="31">
        <f t="shared" si="62"/>
        <v>20195000</v>
      </c>
      <c r="N59" s="31">
        <f t="shared" si="62"/>
        <v>20195000</v>
      </c>
      <c r="O59" s="31">
        <f t="shared" si="62"/>
        <v>20195000</v>
      </c>
      <c r="P59" s="31">
        <f t="shared" si="62"/>
        <v>25620000</v>
      </c>
      <c r="Q59" s="31">
        <f t="shared" si="62"/>
        <v>20195000</v>
      </c>
      <c r="R59" s="31">
        <f t="shared" si="62"/>
        <v>25620000</v>
      </c>
      <c r="S59" s="31">
        <f t="shared" si="62"/>
        <v>36400000</v>
      </c>
      <c r="T59" s="31">
        <f t="shared" si="62"/>
        <v>41790000</v>
      </c>
      <c r="U59" s="39">
        <f>SUM(I59:T59)</f>
        <v>242200000</v>
      </c>
      <c r="V59" s="31">
        <f t="shared" ref="V59:AG59" si="63">V58*_xlfn.SINGLE(pTasaRenta)</f>
        <v>9964076.5</v>
      </c>
      <c r="W59" s="31">
        <f t="shared" si="63"/>
        <v>16442887.999999998</v>
      </c>
      <c r="X59" s="31">
        <f t="shared" si="63"/>
        <v>29208889.5</v>
      </c>
      <c r="Y59" s="31">
        <f t="shared" si="63"/>
        <v>29208889.5</v>
      </c>
      <c r="Z59" s="31">
        <f t="shared" si="63"/>
        <v>35687701</v>
      </c>
      <c r="AA59" s="31">
        <f t="shared" si="63"/>
        <v>35687701</v>
      </c>
      <c r="AB59" s="31">
        <f t="shared" si="63"/>
        <v>35687701</v>
      </c>
      <c r="AC59" s="31">
        <f t="shared" si="63"/>
        <v>42127372</v>
      </c>
      <c r="AD59" s="31">
        <f t="shared" si="63"/>
        <v>35687701</v>
      </c>
      <c r="AE59" s="31">
        <f t="shared" si="63"/>
        <v>42127372</v>
      </c>
      <c r="AF59" s="31">
        <f t="shared" si="63"/>
        <v>54932514</v>
      </c>
      <c r="AG59" s="31">
        <f t="shared" si="63"/>
        <v>61319044.499999993</v>
      </c>
      <c r="AH59" s="39">
        <f>SUM(V59:AG59)</f>
        <v>428081850</v>
      </c>
      <c r="AI59" s="29"/>
      <c r="AJ59" s="32">
        <f>AH59-U59</f>
        <v>185881850</v>
      </c>
      <c r="AK59" s="33">
        <f>IFERROR(AJ59/ABS(U59),"")</f>
        <v>0.76747254335260118</v>
      </c>
      <c r="AL59" s="32">
        <f>SUM(V59:X59)-SUM(I59:K59)</f>
        <v>38360854</v>
      </c>
      <c r="AM59" s="32">
        <f>SUM(Y59:AA59)-SUM(L59:N59)</f>
        <v>45459291.5</v>
      </c>
      <c r="AN59" s="32">
        <f>SUM(AB59:AD59)-SUM(O59:Q59)</f>
        <v>47492774</v>
      </c>
      <c r="AO59" s="32">
        <f>SUM(AE59:AG59)-SUM(R59:T59)</f>
        <v>54568930.5</v>
      </c>
      <c r="AP59" s="33">
        <f>IFERROR(AL59/ABS(SUM(I59:K59)),"")</f>
        <v>2.2231732251521303</v>
      </c>
      <c r="AQ59" s="33">
        <f>IFERROR(AM59/ABS(SUM(L59:N59)),"")</f>
        <v>0.82465834920634917</v>
      </c>
      <c r="AR59" s="33">
        <f>IFERROR(AN59/ABS(SUM(O59:Q59)),"")</f>
        <v>0.71947847295864265</v>
      </c>
      <c r="AS59" s="33">
        <f>IFERROR(AO59/ABS(SUM(R59:T59)),"")</f>
        <v>0.52566159811193525</v>
      </c>
      <c r="AT59" s="29"/>
      <c r="AU59" s="34">
        <f>IFERROR(U59/$U$17,0)</f>
        <v>2.0183333333333334E-2</v>
      </c>
      <c r="AV59" s="34">
        <f>IFERROR(AH59/$AH$17,0)</f>
        <v>3.1346151311453803E-2</v>
      </c>
      <c r="AW59" s="35">
        <f>(AV59-AU59)*100</f>
        <v>1.1162817978120469</v>
      </c>
    </row>
    <row r="60" spans="2:49" ht="14.5" thickBot="1" x14ac:dyDescent="0.45">
      <c r="B60" s="67" t="s">
        <v>131</v>
      </c>
      <c r="C60" s="67"/>
      <c r="D60" s="67" t="s">
        <v>81</v>
      </c>
      <c r="E60" s="67"/>
      <c r="F60" s="67"/>
      <c r="G60" s="83"/>
      <c r="H60" s="67"/>
      <c r="I60" s="69">
        <f t="shared" ref="I60:T60" si="64">I58-I59</f>
        <v>-2730000</v>
      </c>
      <c r="J60" s="69">
        <f t="shared" si="64"/>
        <v>7410000</v>
      </c>
      <c r="K60" s="69">
        <f t="shared" si="64"/>
        <v>27365000</v>
      </c>
      <c r="L60" s="69">
        <f t="shared" si="64"/>
        <v>27365000</v>
      </c>
      <c r="M60" s="69">
        <f t="shared" si="64"/>
        <v>37505000</v>
      </c>
      <c r="N60" s="69">
        <f t="shared" si="64"/>
        <v>37505000</v>
      </c>
      <c r="O60" s="69">
        <f t="shared" si="64"/>
        <v>37505000</v>
      </c>
      <c r="P60" s="69">
        <f t="shared" si="64"/>
        <v>47580000</v>
      </c>
      <c r="Q60" s="69">
        <f t="shared" si="64"/>
        <v>37505000</v>
      </c>
      <c r="R60" s="69">
        <f t="shared" si="64"/>
        <v>47580000</v>
      </c>
      <c r="S60" s="69">
        <f t="shared" si="64"/>
        <v>67600000</v>
      </c>
      <c r="T60" s="69">
        <f t="shared" si="64"/>
        <v>77610000</v>
      </c>
      <c r="U60" s="69">
        <f>SUM(I60:T60)</f>
        <v>449800000</v>
      </c>
      <c r="V60" s="69">
        <f t="shared" ref="V60:AG60" si="65">V58-V59</f>
        <v>18504713.5</v>
      </c>
      <c r="W60" s="69">
        <f t="shared" si="65"/>
        <v>30536792</v>
      </c>
      <c r="X60" s="69">
        <f t="shared" si="65"/>
        <v>54245080.5</v>
      </c>
      <c r="Y60" s="69">
        <f t="shared" si="65"/>
        <v>54245080.5</v>
      </c>
      <c r="Z60" s="69">
        <f t="shared" si="65"/>
        <v>66277159</v>
      </c>
      <c r="AA60" s="69">
        <f t="shared" si="65"/>
        <v>66277159</v>
      </c>
      <c r="AB60" s="69">
        <f t="shared" si="65"/>
        <v>66277159</v>
      </c>
      <c r="AC60" s="69">
        <f t="shared" si="65"/>
        <v>78236548</v>
      </c>
      <c r="AD60" s="69">
        <f t="shared" si="65"/>
        <v>66277159</v>
      </c>
      <c r="AE60" s="69">
        <f t="shared" si="65"/>
        <v>78236548</v>
      </c>
      <c r="AF60" s="69">
        <f t="shared" si="65"/>
        <v>102017526</v>
      </c>
      <c r="AG60" s="69">
        <f t="shared" si="65"/>
        <v>113878225.5</v>
      </c>
      <c r="AH60" s="69">
        <f>SUM(V60:AG60)</f>
        <v>795009150</v>
      </c>
      <c r="AI60" s="68"/>
      <c r="AJ60" s="70">
        <f>AH60-U60</f>
        <v>345209150</v>
      </c>
      <c r="AK60" s="71">
        <f>IFERROR(AJ60/ABS(U60),"")</f>
        <v>0.76747254335260118</v>
      </c>
      <c r="AL60" s="70">
        <f>SUM(V60:X60)-SUM(I60:K60)</f>
        <v>71241586</v>
      </c>
      <c r="AM60" s="70">
        <f>SUM(Y60:AA60)-SUM(L60:N60)</f>
        <v>84424398.5</v>
      </c>
      <c r="AN60" s="70">
        <f>SUM(AB60:AD60)-SUM(O60:Q60)</f>
        <v>88200866</v>
      </c>
      <c r="AO60" s="70">
        <f>SUM(AE60:AG60)-SUM(R60:T60)</f>
        <v>101342299.5</v>
      </c>
      <c r="AP60" s="71">
        <f>IFERROR(AL60/ABS(SUM(I60:K60)),"")</f>
        <v>2.2231732251521299</v>
      </c>
      <c r="AQ60" s="71">
        <f>IFERROR(AM60/ABS(SUM(L60:N60)),"")</f>
        <v>0.82465834920634917</v>
      </c>
      <c r="AR60" s="71">
        <f>IFERROR(AN60/ABS(SUM(O60:Q60)),"")</f>
        <v>0.71947847295864265</v>
      </c>
      <c r="AS60" s="71">
        <f>IFERROR(AO60/ABS(SUM(R60:T60)),"")</f>
        <v>0.52566159811193525</v>
      </c>
      <c r="AT60" s="68"/>
      <c r="AU60" s="72">
        <f>IFERROR(U60/$U$17,0)</f>
        <v>3.7483333333333334E-2</v>
      </c>
      <c r="AV60" s="72">
        <f>IFERROR(AH60/$AH$17,0)</f>
        <v>5.8214281006985634E-2</v>
      </c>
      <c r="AW60" s="73">
        <f>(AV60-AU60)*100</f>
        <v>2.0730947673652302</v>
      </c>
    </row>
    <row r="61" spans="2:49" x14ac:dyDescent="0.4">
      <c r="B61" s="50" t="s">
        <v>132</v>
      </c>
      <c r="C61" s="47"/>
      <c r="D61" s="47" t="s">
        <v>83</v>
      </c>
      <c r="E61" s="47"/>
      <c r="F61" s="47"/>
      <c r="G61" s="80"/>
      <c r="H61" s="47"/>
      <c r="I61" s="48">
        <f t="shared" ref="I61:AH61" si="66">IFERROR(I60/I17,0)</f>
        <v>-3.4125000000000002E-3</v>
      </c>
      <c r="J61" s="48">
        <f t="shared" si="66"/>
        <v>8.7176470588235296E-3</v>
      </c>
      <c r="K61" s="48">
        <f t="shared" si="66"/>
        <v>2.8805263157894737E-2</v>
      </c>
      <c r="L61" s="48">
        <f t="shared" si="66"/>
        <v>2.8805263157894737E-2</v>
      </c>
      <c r="M61" s="48">
        <f t="shared" si="66"/>
        <v>3.7504999999999997E-2</v>
      </c>
      <c r="N61" s="48">
        <f t="shared" si="66"/>
        <v>3.7504999999999997E-2</v>
      </c>
      <c r="O61" s="48">
        <f t="shared" si="66"/>
        <v>3.7504999999999997E-2</v>
      </c>
      <c r="P61" s="48">
        <f t="shared" si="66"/>
        <v>4.5314285714285717E-2</v>
      </c>
      <c r="Q61" s="48">
        <f t="shared" si="66"/>
        <v>3.7504999999999997E-2</v>
      </c>
      <c r="R61" s="48">
        <f t="shared" si="66"/>
        <v>4.5314285714285717E-2</v>
      </c>
      <c r="S61" s="48">
        <f t="shared" si="66"/>
        <v>5.8782608695652175E-2</v>
      </c>
      <c r="T61" s="48">
        <f t="shared" si="66"/>
        <v>6.4674999999999996E-2</v>
      </c>
      <c r="U61" s="85">
        <f t="shared" si="66"/>
        <v>3.7483333333333334E-2</v>
      </c>
      <c r="V61" s="48">
        <f t="shared" si="66"/>
        <v>2.0325022516585387E-2</v>
      </c>
      <c r="W61" s="48">
        <f t="shared" si="66"/>
        <v>3.1567714640884689E-2</v>
      </c>
      <c r="X61" s="48">
        <f t="shared" si="66"/>
        <v>5.0173616920910422E-2</v>
      </c>
      <c r="Y61" s="48">
        <f t="shared" si="66"/>
        <v>5.0173616920910422E-2</v>
      </c>
      <c r="Z61" s="48">
        <f t="shared" si="66"/>
        <v>5.8237475506348578E-2</v>
      </c>
      <c r="AA61" s="48">
        <f t="shared" si="66"/>
        <v>5.8237475506348578E-2</v>
      </c>
      <c r="AB61" s="48">
        <f t="shared" si="66"/>
        <v>5.8237475506348578E-2</v>
      </c>
      <c r="AC61" s="48">
        <f t="shared" si="66"/>
        <v>6.5472517108420628E-2</v>
      </c>
      <c r="AD61" s="48">
        <f t="shared" si="66"/>
        <v>5.8237475506348578E-2</v>
      </c>
      <c r="AE61" s="48">
        <f t="shared" si="66"/>
        <v>6.5472517108420628E-2</v>
      </c>
      <c r="AF61" s="48">
        <f t="shared" si="66"/>
        <v>7.7949907450387101E-2</v>
      </c>
      <c r="AG61" s="48">
        <f t="shared" si="66"/>
        <v>8.3386952462545585E-2</v>
      </c>
      <c r="AH61" s="85">
        <f t="shared" si="66"/>
        <v>5.8214281006985634E-2</v>
      </c>
      <c r="AI61" s="47"/>
      <c r="AJ61" s="47"/>
      <c r="AK61" s="49">
        <f>(AH61-U61)*100</f>
        <v>2.0730947673652302</v>
      </c>
      <c r="AL61" s="49"/>
      <c r="AM61" s="49"/>
      <c r="AN61" s="49"/>
      <c r="AO61" s="49"/>
      <c r="AP61" s="49">
        <f>(IFERROR(SUM(V60:X60)/SUM(V17:X17),0)-IFERROR(SUM(I60:K60)/SUM(I17:K17),0))*100</f>
        <v>2.2581735204955846</v>
      </c>
      <c r="AQ61" s="49">
        <f>(IFERROR(SUM(Y60:AA60)/SUM(Y17:AA17),0)-IFERROR(SUM(L60:N60)/SUM(L17:N17),0))*100</f>
        <v>2.093724986019053</v>
      </c>
      <c r="AR61" s="49">
        <f>(IFERROR(SUM(AB60:AD60)/SUM(AB17:AD17),0)-IFERROR(SUM(O60:Q60)/SUM(O17:Q17),0))*100</f>
        <v>2.0534784910340593</v>
      </c>
      <c r="AS61" s="49">
        <f>(IFERROR(SUM(AE60:AG60)/SUM(AE17:AG17),0)-IFERROR(SUM(R60:T60)/SUM(R17:T17),0))*100</f>
        <v>1.9312611613776918</v>
      </c>
      <c r="AT61" s="47"/>
      <c r="AU61" s="47"/>
      <c r="AV61" s="47"/>
      <c r="AW61" s="47"/>
    </row>
  </sheetData>
  <mergeCells count="3">
    <mergeCell ref="I11:U11"/>
    <mergeCell ref="V11:AH11"/>
    <mergeCell ref="AJ11:AW11"/>
  </mergeCells>
  <conditionalFormatting sqref="AJ13:AJ61">
    <cfRule type="dataBar" priority="7">
      <dataBar>
        <cfvo type="min"/>
        <cfvo type="max"/>
        <color rgb="FFF1E8D6"/>
      </dataBar>
      <extLst>
        <ext xmlns:x14="http://schemas.microsoft.com/office/spreadsheetml/2009/9/main" uri="{B025F937-C7B1-47D3-B67F-A62EFF666E3E}">
          <x14:id>{4DDA3D0C-1526-429B-B590-D8C41DA148FB}</x14:id>
        </ext>
      </extLst>
    </cfRule>
  </conditionalFormatting>
  <conditionalFormatting sqref="AJ13:AS61">
    <cfRule type="expression" dxfId="69" priority="2" stopIfTrue="1">
      <formula>AND(ISNUMBER(AJ13),AJ13&lt;&gt;0,OR(AND(OR($D13="Costo",$D13="Gasto"),AJ13&gt;0),AND(NOT(OR($D13="Costo",$D13="Gasto")),AJ13&lt;0)))</formula>
    </cfRule>
    <cfRule type="expression" dxfId="68" priority="4" stopIfTrue="1">
      <formula>AND(ISNUMBER(AJ13),AJ13&lt;&gt;0)</formula>
    </cfRule>
  </conditionalFormatting>
  <conditionalFormatting sqref="AL13:AO61">
    <cfRule type="dataBar" priority="8">
      <dataBar>
        <cfvo type="min"/>
        <cfvo type="max"/>
        <color rgb="FFF1E8D6"/>
      </dataBar>
      <extLst>
        <ext xmlns:x14="http://schemas.microsoft.com/office/spreadsheetml/2009/9/main" uri="{B025F937-C7B1-47D3-B67F-A62EFF666E3E}">
          <x14:id>{F72F5DD4-4D8F-4B04-8A45-BBF20C0DE8B8}</x14:id>
        </ext>
      </extLst>
    </cfRule>
  </conditionalFormatting>
  <conditionalFormatting sqref="AV13:AV61">
    <cfRule type="dataBar" priority="9">
      <dataBar>
        <cfvo type="min"/>
        <cfvo type="max"/>
        <color rgb="FFC8DCE9"/>
      </dataBar>
      <extLst>
        <ext xmlns:x14="http://schemas.microsoft.com/office/spreadsheetml/2009/9/main" uri="{B025F937-C7B1-47D3-B67F-A62EFF666E3E}">
          <x14:id>{757DA2EE-58B1-4D72-A943-57201DFF70B2}</x14:id>
        </ext>
      </extLst>
    </cfRule>
  </conditionalFormatting>
  <conditionalFormatting sqref="AW13:AW61">
    <cfRule type="expression" dxfId="67" priority="1" stopIfTrue="1">
      <formula>AND(ISNUMBER(AW13),AW13&lt;&gt;0,OR(AND(OR($D13="Costo",$D13="Gasto"),AW13&gt;0),AND(NOT(OR($D13="Costo",$D13="Gasto")),AW13&lt;0)))</formula>
    </cfRule>
    <cfRule type="expression" dxfId="66" priority="6" stopIfTrue="1">
      <formula>AND(ISNUMBER(AW13),AW13&lt;&gt;0)</formula>
    </cfRule>
  </conditionalFormatting>
  <hyperlinks>
    <hyperlink ref="B4" location="'Tablero'!A1" tooltip="Volver al tablero" display="← Volver al tablero" xr:uid="{9C12D490-18ED-4D55-8949-5F03AB286496}"/>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DDA3D0C-1526-429B-B590-D8C41DA148FB}">
            <x14:dataBar minLength="0" maxLength="100" gradient="0">
              <x14:cfvo type="min"/>
              <x14:cfvo type="max"/>
              <x14:negativeFillColor rgb="FFF1E8D6"/>
              <x14:axisColor rgb="FF000000"/>
            </x14:dataBar>
          </x14:cfRule>
          <xm:sqref>AJ13:AJ61</xm:sqref>
        </x14:conditionalFormatting>
        <x14:conditionalFormatting xmlns:xm="http://schemas.microsoft.com/office/excel/2006/main">
          <x14:cfRule type="dataBar" id="{F72F5DD4-4D8F-4B04-8A45-BBF20C0DE8B8}">
            <x14:dataBar minLength="0" maxLength="100" gradient="0">
              <x14:cfvo type="min"/>
              <x14:cfvo type="max"/>
              <x14:negativeFillColor rgb="FFF1E8D6"/>
              <x14:axisColor rgb="FF000000"/>
            </x14:dataBar>
          </x14:cfRule>
          <xm:sqref>AL13:AO61</xm:sqref>
        </x14:conditionalFormatting>
        <x14:conditionalFormatting xmlns:xm="http://schemas.microsoft.com/office/excel/2006/main">
          <x14:cfRule type="dataBar" id="{757DA2EE-58B1-4D72-A943-57201DFF70B2}">
            <x14:dataBar minLength="0" maxLength="100" gradient="0">
              <x14:cfvo type="min"/>
              <x14:cfvo type="max"/>
              <x14:negativeFillColor rgb="FFC8DCE9"/>
              <x14:axisColor rgb="FF000000"/>
            </x14:dataBar>
          </x14:cfRule>
          <xm:sqref>AV13:AV61</xm:sqref>
        </x14:conditionalFormatting>
      </x14:conditionalFormattings>
    </ext>
    <ext xmlns:x14="http://schemas.microsoft.com/office/spreadsheetml/2009/9/main" uri="{05C60535-1F16-4fd2-B633-F4F36F0B64E0}">
      <x14:sparklineGroups xmlns:xm="http://schemas.microsoft.com/office/excel/2006/main">
        <x14:sparklineGroup lineWeight="1.25" displayEmptyCellsAs="gap" high="1" low="1" displayHidden="1" xr2:uid="{FC45C642-08DF-4FB2-A3B2-6DA3652F4513}">
          <x14:colorSeries rgb="FF0E4D5C"/>
          <x14:colorNegative rgb="FFD00000"/>
          <x14:colorAxis rgb="FF000000"/>
          <x14:colorMarkers rgb="FFD00000"/>
          <x14:colorFirst rgb="FFD00000"/>
          <x14:colorLast rgb="FFD00000"/>
          <x14:colorHigh rgb="FF14776B"/>
          <x14:colorLow rgb="FF9C5142"/>
          <x14:sparklines>
            <x14:sparkline>
              <xm:f>'PPTO 2027'!V60:AG60</xm:f>
              <xm:sqref>AT60</xm:sqref>
            </x14:sparkline>
          </x14:sparklines>
        </x14:sparklineGroup>
        <x14:sparklineGroup lineWeight="1.25" displayEmptyCellsAs="gap" high="1" low="1" displayHidden="1" xr2:uid="{DF7F8D1E-0497-470C-A309-A8CED65151D6}">
          <x14:colorSeries rgb="FF0E4D5C"/>
          <x14:colorNegative rgb="FFD00000"/>
          <x14:colorAxis rgb="FF000000"/>
          <x14:colorMarkers rgb="FFD00000"/>
          <x14:colorFirst rgb="FFD00000"/>
          <x14:colorLast rgb="FFD00000"/>
          <x14:colorHigh rgb="FF14776B"/>
          <x14:colorLow rgb="FF9C5142"/>
          <x14:sparklines>
            <x14:sparkline>
              <xm:f>'PPTO 2027'!V59:AG59</xm:f>
              <xm:sqref>AT59</xm:sqref>
            </x14:sparkline>
          </x14:sparklines>
        </x14:sparklineGroup>
        <x14:sparklineGroup lineWeight="1.25" displayEmptyCellsAs="gap" high="1" low="1" displayHidden="1" xr2:uid="{4B7835A8-B6E8-45BF-9913-E001BDFFFC2D}">
          <x14:colorSeries rgb="FF0E4D5C"/>
          <x14:colorNegative rgb="FFD00000"/>
          <x14:colorAxis rgb="FF000000"/>
          <x14:colorMarkers rgb="FFD00000"/>
          <x14:colorFirst rgb="FFD00000"/>
          <x14:colorLast rgb="FFD00000"/>
          <x14:colorHigh rgb="FF14776B"/>
          <x14:colorLow rgb="FF9C5142"/>
          <x14:sparklines>
            <x14:sparkline>
              <xm:f>'PPTO 2027'!V58:AG58</xm:f>
              <xm:sqref>AT58</xm:sqref>
            </x14:sparkline>
          </x14:sparklines>
        </x14:sparklineGroup>
        <x14:sparklineGroup lineWeight="1.25" displayEmptyCellsAs="gap" high="1" low="1" displayHidden="1" xr2:uid="{64C4EB0C-5D0B-4860-A5AE-BB8E7C4FA5B6}">
          <x14:colorSeries rgb="FF0E4D5C"/>
          <x14:colorNegative rgb="FFD00000"/>
          <x14:colorAxis rgb="FF000000"/>
          <x14:colorMarkers rgb="FFD00000"/>
          <x14:colorFirst rgb="FFD00000"/>
          <x14:colorLast rgb="FFD00000"/>
          <x14:colorHigh rgb="FF14776B"/>
          <x14:colorLow rgb="FF9C5142"/>
          <x14:sparklines>
            <x14:sparkline>
              <xm:f>'PPTO 2027'!V57:AG57</xm:f>
              <xm:sqref>AT57</xm:sqref>
            </x14:sparkline>
          </x14:sparklines>
        </x14:sparklineGroup>
        <x14:sparklineGroup lineWeight="1.25" displayEmptyCellsAs="gap" high="1" low="1" displayHidden="1" xr2:uid="{6B998EE0-F71E-4519-8F3D-0842A081813D}">
          <x14:colorSeries rgb="FF0E4D5C"/>
          <x14:colorNegative rgb="FFD00000"/>
          <x14:colorAxis rgb="FF000000"/>
          <x14:colorMarkers rgb="FFD00000"/>
          <x14:colorFirst rgb="FFD00000"/>
          <x14:colorLast rgb="FFD00000"/>
          <x14:colorHigh rgb="FF14776B"/>
          <x14:colorLow rgb="FF9C5142"/>
          <x14:sparklines>
            <x14:sparkline>
              <xm:f>'PPTO 2027'!V56:AG56</xm:f>
              <xm:sqref>AT56</xm:sqref>
            </x14:sparkline>
          </x14:sparklines>
        </x14:sparklineGroup>
        <x14:sparklineGroup lineWeight="1.25" displayEmptyCellsAs="gap" high="1" low="1" displayHidden="1" xr2:uid="{34978810-8BCA-4576-8AF1-35389244B97B}">
          <x14:colorSeries rgb="FF0E4D5C"/>
          <x14:colorNegative rgb="FFD00000"/>
          <x14:colorAxis rgb="FF000000"/>
          <x14:colorMarkers rgb="FFD00000"/>
          <x14:colorFirst rgb="FFD00000"/>
          <x14:colorLast rgb="FFD00000"/>
          <x14:colorHigh rgb="FF14776B"/>
          <x14:colorLow rgb="FF9C5142"/>
          <x14:sparklines>
            <x14:sparkline>
              <xm:f>'PPTO 2027'!V54:AG54</xm:f>
              <xm:sqref>AT54</xm:sqref>
            </x14:sparkline>
          </x14:sparklines>
        </x14:sparklineGroup>
        <x14:sparklineGroup lineWeight="1.25" displayEmptyCellsAs="gap" high="1" low="1" displayHidden="1" xr2:uid="{7DB2FE08-9ADD-4292-939C-8AA087B930EA}">
          <x14:colorSeries rgb="FF0E4D5C"/>
          <x14:colorNegative rgb="FFD00000"/>
          <x14:colorAxis rgb="FF000000"/>
          <x14:colorMarkers rgb="FFD00000"/>
          <x14:colorFirst rgb="FFD00000"/>
          <x14:colorLast rgb="FFD00000"/>
          <x14:colorHigh rgb="FF14776B"/>
          <x14:colorLow rgb="FF9C5142"/>
          <x14:sparklines>
            <x14:sparkline>
              <xm:f>'PPTO 2027'!V53:AG53</xm:f>
              <xm:sqref>AT53</xm:sqref>
            </x14:sparkline>
          </x14:sparklines>
        </x14:sparklineGroup>
        <x14:sparklineGroup lineWeight="1.25" displayEmptyCellsAs="gap" high="1" low="1" displayHidden="1" xr2:uid="{E554A3FC-9F20-42B4-8AE3-1AF49E022B53}">
          <x14:colorSeries rgb="FF0E4D5C"/>
          <x14:colorNegative rgb="FFD00000"/>
          <x14:colorAxis rgb="FF000000"/>
          <x14:colorMarkers rgb="FFD00000"/>
          <x14:colorFirst rgb="FFD00000"/>
          <x14:colorLast rgb="FFD00000"/>
          <x14:colorHigh rgb="FF14776B"/>
          <x14:colorLow rgb="FF9C5142"/>
          <x14:sparklines>
            <x14:sparkline>
              <xm:f>'PPTO 2027'!V51:AG51</xm:f>
              <xm:sqref>AT51</xm:sqref>
            </x14:sparkline>
          </x14:sparklines>
        </x14:sparklineGroup>
        <x14:sparklineGroup lineWeight="1.25" displayEmptyCellsAs="gap" high="1" low="1" displayHidden="1" xr2:uid="{3DA7AD1F-4539-420D-954F-FC650DF2E040}">
          <x14:colorSeries rgb="FF0E4D5C"/>
          <x14:colorNegative rgb="FFD00000"/>
          <x14:colorAxis rgb="FF000000"/>
          <x14:colorMarkers rgb="FFD00000"/>
          <x14:colorFirst rgb="FFD00000"/>
          <x14:colorLast rgb="FFD00000"/>
          <x14:colorHigh rgb="FF14776B"/>
          <x14:colorLow rgb="FF9C5142"/>
          <x14:sparklines>
            <x14:sparkline>
              <xm:f>'PPTO 2027'!V50:AG50</xm:f>
              <xm:sqref>AT50</xm:sqref>
            </x14:sparkline>
          </x14:sparklines>
        </x14:sparklineGroup>
        <x14:sparklineGroup lineWeight="1.25" displayEmptyCellsAs="gap" high="1" low="1" displayHidden="1" xr2:uid="{3488D530-C282-46A9-9CE2-266C53C93C87}">
          <x14:colorSeries rgb="FF0E4D5C"/>
          <x14:colorNegative rgb="FFD00000"/>
          <x14:colorAxis rgb="FF000000"/>
          <x14:colorMarkers rgb="FFD00000"/>
          <x14:colorFirst rgb="FFD00000"/>
          <x14:colorLast rgb="FFD00000"/>
          <x14:colorHigh rgb="FF14776B"/>
          <x14:colorLow rgb="FF9C5142"/>
          <x14:sparklines>
            <x14:sparkline>
              <xm:f>'PPTO 2027'!V49:AG49</xm:f>
              <xm:sqref>AT49</xm:sqref>
            </x14:sparkline>
          </x14:sparklines>
        </x14:sparklineGroup>
        <x14:sparklineGroup lineWeight="1.25" displayEmptyCellsAs="gap" high="1" low="1" displayHidden="1" xr2:uid="{8D561796-04A4-4FEA-86CF-3505459080B1}">
          <x14:colorSeries rgb="FF0E4D5C"/>
          <x14:colorNegative rgb="FFD00000"/>
          <x14:colorAxis rgb="FF000000"/>
          <x14:colorMarkers rgb="FFD00000"/>
          <x14:colorFirst rgb="FFD00000"/>
          <x14:colorLast rgb="FFD00000"/>
          <x14:colorHigh rgb="FF14776B"/>
          <x14:colorLow rgb="FF9C5142"/>
          <x14:sparklines>
            <x14:sparkline>
              <xm:f>'PPTO 2027'!V45:AG45</xm:f>
              <xm:sqref>AT45</xm:sqref>
            </x14:sparkline>
          </x14:sparklines>
        </x14:sparklineGroup>
        <x14:sparklineGroup lineWeight="1.25" displayEmptyCellsAs="gap" high="1" low="1" displayHidden="1" xr2:uid="{49CAC0DB-E88C-4D6C-B420-BDBB7745E9C0}">
          <x14:colorSeries rgb="FF0E4D5C"/>
          <x14:colorNegative rgb="FFD00000"/>
          <x14:colorAxis rgb="FF000000"/>
          <x14:colorMarkers rgb="FFD00000"/>
          <x14:colorFirst rgb="FFD00000"/>
          <x14:colorLast rgb="FFD00000"/>
          <x14:colorHigh rgb="FF14776B"/>
          <x14:colorLow rgb="FF9C5142"/>
          <x14:sparklines>
            <x14:sparkline>
              <xm:f>'PPTO 2027'!V43:AG43</xm:f>
              <xm:sqref>AT43</xm:sqref>
            </x14:sparkline>
          </x14:sparklines>
        </x14:sparklineGroup>
        <x14:sparklineGroup lineWeight="1.25" displayEmptyCellsAs="gap" high="1" low="1" displayHidden="1" xr2:uid="{1B7744C6-9524-428F-9927-81D559ADD868}">
          <x14:colorSeries rgb="FF0E4D5C"/>
          <x14:colorNegative rgb="FFD00000"/>
          <x14:colorAxis rgb="FF000000"/>
          <x14:colorMarkers rgb="FFD00000"/>
          <x14:colorFirst rgb="FFD00000"/>
          <x14:colorLast rgb="FFD00000"/>
          <x14:colorHigh rgb="FF14776B"/>
          <x14:colorLow rgb="FF9C5142"/>
          <x14:sparklines>
            <x14:sparkline>
              <xm:f>'PPTO 2027'!V42:AG42</xm:f>
              <xm:sqref>AT42</xm:sqref>
            </x14:sparkline>
          </x14:sparklines>
        </x14:sparklineGroup>
        <x14:sparklineGroup lineWeight="1.25" displayEmptyCellsAs="gap" high="1" low="1" displayHidden="1" xr2:uid="{F63ADD39-8E4D-4972-B342-FCC7E952DFC9}">
          <x14:colorSeries rgb="FF0E4D5C"/>
          <x14:colorNegative rgb="FFD00000"/>
          <x14:colorAxis rgb="FF000000"/>
          <x14:colorMarkers rgb="FFD00000"/>
          <x14:colorFirst rgb="FFD00000"/>
          <x14:colorLast rgb="FFD00000"/>
          <x14:colorHigh rgb="FF14776B"/>
          <x14:colorLow rgb="FF9C5142"/>
          <x14:sparklines>
            <x14:sparkline>
              <xm:f>'PPTO 2027'!V41:AG41</xm:f>
              <xm:sqref>AT41</xm:sqref>
            </x14:sparkline>
          </x14:sparklines>
        </x14:sparklineGroup>
        <x14:sparklineGroup lineWeight="1.25" displayEmptyCellsAs="gap" high="1" low="1" displayHidden="1" xr2:uid="{8363FB9F-5BB4-47D6-ACB4-8C05EF701EB9}">
          <x14:colorSeries rgb="FF0E4D5C"/>
          <x14:colorNegative rgb="FFD00000"/>
          <x14:colorAxis rgb="FF000000"/>
          <x14:colorMarkers rgb="FFD00000"/>
          <x14:colorFirst rgb="FFD00000"/>
          <x14:colorLast rgb="FFD00000"/>
          <x14:colorHigh rgb="FF14776B"/>
          <x14:colorLow rgb="FF9C5142"/>
          <x14:sparklines>
            <x14:sparkline>
              <xm:f>'PPTO 2027'!V40:AG40</xm:f>
              <xm:sqref>AT40</xm:sqref>
            </x14:sparkline>
          </x14:sparklines>
        </x14:sparklineGroup>
        <x14:sparklineGroup lineWeight="1.25" displayEmptyCellsAs="gap" high="1" low="1" displayHidden="1" xr2:uid="{2A503442-A8D9-4AB8-902E-1A7A650F95AE}">
          <x14:colorSeries rgb="FF0E4D5C"/>
          <x14:colorNegative rgb="FFD00000"/>
          <x14:colorAxis rgb="FF000000"/>
          <x14:colorMarkers rgb="FFD00000"/>
          <x14:colorFirst rgb="FFD00000"/>
          <x14:colorLast rgb="FFD00000"/>
          <x14:colorHigh rgb="FF14776B"/>
          <x14:colorLow rgb="FF9C5142"/>
          <x14:sparklines>
            <x14:sparkline>
              <xm:f>'PPTO 2027'!V39:AG39</xm:f>
              <xm:sqref>AT39</xm:sqref>
            </x14:sparkline>
          </x14:sparklines>
        </x14:sparklineGroup>
        <x14:sparklineGroup lineWeight="1.25" displayEmptyCellsAs="gap" high="1" low="1" displayHidden="1" xr2:uid="{6F12DCAC-8C5D-4266-949F-1BF2907062A1}">
          <x14:colorSeries rgb="FF0E4D5C"/>
          <x14:colorNegative rgb="FFD00000"/>
          <x14:colorAxis rgb="FF000000"/>
          <x14:colorMarkers rgb="FFD00000"/>
          <x14:colorFirst rgb="FFD00000"/>
          <x14:colorLast rgb="FFD00000"/>
          <x14:colorHigh rgb="FF14776B"/>
          <x14:colorLow rgb="FF9C5142"/>
          <x14:sparklines>
            <x14:sparkline>
              <xm:f>'PPTO 2027'!V38:AG38</xm:f>
              <xm:sqref>AT38</xm:sqref>
            </x14:sparkline>
          </x14:sparklines>
        </x14:sparklineGroup>
        <x14:sparklineGroup lineWeight="1.25" displayEmptyCellsAs="gap" high="1" low="1" displayHidden="1" xr2:uid="{E449EF8B-5A66-4864-8869-F6AF360EC4BA}">
          <x14:colorSeries rgb="FF0E4D5C"/>
          <x14:colorNegative rgb="FFD00000"/>
          <x14:colorAxis rgb="FF000000"/>
          <x14:colorMarkers rgb="FFD00000"/>
          <x14:colorFirst rgb="FFD00000"/>
          <x14:colorLast rgb="FFD00000"/>
          <x14:colorHigh rgb="FF14776B"/>
          <x14:colorLow rgb="FF9C5142"/>
          <x14:sparklines>
            <x14:sparkline>
              <xm:f>'PPTO 2027'!V37:AG37</xm:f>
              <xm:sqref>AT37</xm:sqref>
            </x14:sparkline>
          </x14:sparklines>
        </x14:sparklineGroup>
        <x14:sparklineGroup lineWeight="1.25" displayEmptyCellsAs="gap" high="1" low="1" displayHidden="1" xr2:uid="{F4B8F7E4-147D-469E-81C2-28BB04578525}">
          <x14:colorSeries rgb="FF0E4D5C"/>
          <x14:colorNegative rgb="FFD00000"/>
          <x14:colorAxis rgb="FF000000"/>
          <x14:colorMarkers rgb="FFD00000"/>
          <x14:colorFirst rgb="FFD00000"/>
          <x14:colorLast rgb="FFD00000"/>
          <x14:colorHigh rgb="FF14776B"/>
          <x14:colorLow rgb="FF9C5142"/>
          <x14:sparklines>
            <x14:sparkline>
              <xm:f>'PPTO 2027'!V36:AG36</xm:f>
              <xm:sqref>AT36</xm:sqref>
            </x14:sparkline>
          </x14:sparklines>
        </x14:sparklineGroup>
        <x14:sparklineGroup lineWeight="1.25" displayEmptyCellsAs="gap" high="1" low="1" displayHidden="1" xr2:uid="{DF3FF7CE-F7E3-4C6E-BAD1-573DBF22AC40}">
          <x14:colorSeries rgb="FF0E4D5C"/>
          <x14:colorNegative rgb="FFD00000"/>
          <x14:colorAxis rgb="FF000000"/>
          <x14:colorMarkers rgb="FFD00000"/>
          <x14:colorFirst rgb="FFD00000"/>
          <x14:colorLast rgb="FFD00000"/>
          <x14:colorHigh rgb="FF14776B"/>
          <x14:colorLow rgb="FF9C5142"/>
          <x14:sparklines>
            <x14:sparkline>
              <xm:f>'PPTO 2027'!V35:AG35</xm:f>
              <xm:sqref>AT35</xm:sqref>
            </x14:sparkline>
          </x14:sparklines>
        </x14:sparklineGroup>
        <x14:sparklineGroup lineWeight="1.25" displayEmptyCellsAs="gap" high="1" low="1" displayHidden="1" xr2:uid="{233D36D3-60F8-4117-B365-0694981705FC}">
          <x14:colorSeries rgb="FF0E4D5C"/>
          <x14:colorNegative rgb="FFD00000"/>
          <x14:colorAxis rgb="FF000000"/>
          <x14:colorMarkers rgb="FFD00000"/>
          <x14:colorFirst rgb="FFD00000"/>
          <x14:colorLast rgb="FFD00000"/>
          <x14:colorHigh rgb="FF14776B"/>
          <x14:colorLow rgb="FF9C5142"/>
          <x14:sparklines>
            <x14:sparkline>
              <xm:f>'PPTO 2027'!V33:AG33</xm:f>
              <xm:sqref>AT33</xm:sqref>
            </x14:sparkline>
          </x14:sparklines>
        </x14:sparklineGroup>
        <x14:sparklineGroup lineWeight="1.25" displayEmptyCellsAs="gap" high="1" low="1" displayHidden="1" xr2:uid="{EB316137-9D7D-4F9A-A279-6E9E2E2AECD4}">
          <x14:colorSeries rgb="FF0E4D5C"/>
          <x14:colorNegative rgb="FFD00000"/>
          <x14:colorAxis rgb="FF000000"/>
          <x14:colorMarkers rgb="FFD00000"/>
          <x14:colorFirst rgb="FFD00000"/>
          <x14:colorLast rgb="FFD00000"/>
          <x14:colorHigh rgb="FF14776B"/>
          <x14:colorLow rgb="FF9C5142"/>
          <x14:sparklines>
            <x14:sparkline>
              <xm:f>'PPTO 2027'!V32:AG32</xm:f>
              <xm:sqref>AT32</xm:sqref>
            </x14:sparkline>
          </x14:sparklines>
        </x14:sparklineGroup>
        <x14:sparklineGroup lineWeight="1.25" displayEmptyCellsAs="gap" high="1" low="1" displayHidden="1" xr2:uid="{E0BDCFBC-EFBC-4AB8-87A1-C5E073060E64}">
          <x14:colorSeries rgb="FF0E4D5C"/>
          <x14:colorNegative rgb="FFD00000"/>
          <x14:colorAxis rgb="FF000000"/>
          <x14:colorMarkers rgb="FFD00000"/>
          <x14:colorFirst rgb="FFD00000"/>
          <x14:colorLast rgb="FFD00000"/>
          <x14:colorHigh rgb="FF14776B"/>
          <x14:colorLow rgb="FF9C5142"/>
          <x14:sparklines>
            <x14:sparkline>
              <xm:f>'PPTO 2027'!V31:AG31</xm:f>
              <xm:sqref>AT31</xm:sqref>
            </x14:sparkline>
          </x14:sparklines>
        </x14:sparklineGroup>
        <x14:sparklineGroup lineWeight="1.25" displayEmptyCellsAs="gap" high="1" low="1" displayHidden="1" xr2:uid="{83041D1D-E325-4B4E-B1FB-400A60844F72}">
          <x14:colorSeries rgb="FF0E4D5C"/>
          <x14:colorNegative rgb="FFD00000"/>
          <x14:colorAxis rgb="FF000000"/>
          <x14:colorMarkers rgb="FFD00000"/>
          <x14:colorFirst rgb="FFD00000"/>
          <x14:colorLast rgb="FFD00000"/>
          <x14:colorHigh rgb="FF14776B"/>
          <x14:colorLow rgb="FF9C5142"/>
          <x14:sparklines>
            <x14:sparkline>
              <xm:f>'PPTO 2027'!V30:AG30</xm:f>
              <xm:sqref>AT30</xm:sqref>
            </x14:sparkline>
          </x14:sparklines>
        </x14:sparklineGroup>
        <x14:sparklineGroup lineWeight="1.25" displayEmptyCellsAs="gap" high="1" low="1" displayHidden="1" xr2:uid="{4E6E8D46-3FDD-41D4-B0BB-68B36C9546A5}">
          <x14:colorSeries rgb="FF0E4D5C"/>
          <x14:colorNegative rgb="FFD00000"/>
          <x14:colorAxis rgb="FF000000"/>
          <x14:colorMarkers rgb="FFD00000"/>
          <x14:colorFirst rgb="FFD00000"/>
          <x14:colorLast rgb="FFD00000"/>
          <x14:colorHigh rgb="FF14776B"/>
          <x14:colorLow rgb="FF9C5142"/>
          <x14:sparklines>
            <x14:sparkline>
              <xm:f>'PPTO 2027'!V29:AG29</xm:f>
              <xm:sqref>AT29</xm:sqref>
            </x14:sparkline>
          </x14:sparklines>
        </x14:sparklineGroup>
        <x14:sparklineGroup lineWeight="1.25" displayEmptyCellsAs="gap" high="1" low="1" displayHidden="1" xr2:uid="{3EF01243-8E01-4FEC-AB54-A707036CACDD}">
          <x14:colorSeries rgb="FF0E4D5C"/>
          <x14:colorNegative rgb="FFD00000"/>
          <x14:colorAxis rgb="FF000000"/>
          <x14:colorMarkers rgb="FFD00000"/>
          <x14:colorFirst rgb="FFD00000"/>
          <x14:colorLast rgb="FFD00000"/>
          <x14:colorHigh rgb="FF14776B"/>
          <x14:colorLow rgb="FF9C5142"/>
          <x14:sparklines>
            <x14:sparkline>
              <xm:f>'PPTO 2027'!V28:AG28</xm:f>
              <xm:sqref>AT28</xm:sqref>
            </x14:sparkline>
          </x14:sparklines>
        </x14:sparklineGroup>
        <x14:sparklineGroup lineWeight="1.25" displayEmptyCellsAs="gap" high="1" low="1" displayHidden="1" xr2:uid="{265A267B-BCA1-42FF-AC48-8BE9EF0FADDE}">
          <x14:colorSeries rgb="FF0E4D5C"/>
          <x14:colorNegative rgb="FFD00000"/>
          <x14:colorAxis rgb="FF000000"/>
          <x14:colorMarkers rgb="FFD00000"/>
          <x14:colorFirst rgb="FFD00000"/>
          <x14:colorLast rgb="FFD00000"/>
          <x14:colorHigh rgb="FF14776B"/>
          <x14:colorLow rgb="FF9C5142"/>
          <x14:sparklines>
            <x14:sparkline>
              <xm:f>'PPTO 2027'!V27:AG27</xm:f>
              <xm:sqref>AT27</xm:sqref>
            </x14:sparkline>
          </x14:sparklines>
        </x14:sparklineGroup>
        <x14:sparklineGroup lineWeight="1.25" displayEmptyCellsAs="gap" high="1" low="1" displayHidden="1" xr2:uid="{A5C0AA44-E7ED-4CAD-A198-40C760BB9EF3}">
          <x14:colorSeries rgb="FF0E4D5C"/>
          <x14:colorNegative rgb="FFD00000"/>
          <x14:colorAxis rgb="FF000000"/>
          <x14:colorMarkers rgb="FFD00000"/>
          <x14:colorFirst rgb="FFD00000"/>
          <x14:colorLast rgb="FFD00000"/>
          <x14:colorHigh rgb="FF14776B"/>
          <x14:colorLow rgb="FF9C5142"/>
          <x14:sparklines>
            <x14:sparkline>
              <xm:f>'PPTO 2027'!V23:AG23</xm:f>
              <xm:sqref>AT23</xm:sqref>
            </x14:sparkline>
          </x14:sparklines>
        </x14:sparklineGroup>
        <x14:sparklineGroup lineWeight="1.25" displayEmptyCellsAs="gap" high="1" low="1" displayHidden="1" xr2:uid="{30E8DFCB-9B92-438E-A48C-B001465788A9}">
          <x14:colorSeries rgb="FF0E4D5C"/>
          <x14:colorNegative rgb="FFD00000"/>
          <x14:colorAxis rgb="FF000000"/>
          <x14:colorMarkers rgb="FFD00000"/>
          <x14:colorFirst rgb="FFD00000"/>
          <x14:colorLast rgb="FFD00000"/>
          <x14:colorHigh rgb="FF14776B"/>
          <x14:colorLow rgb="FF9C5142"/>
          <x14:sparklines>
            <x14:sparkline>
              <xm:f>'PPTO 2027'!V22:AG22</xm:f>
              <xm:sqref>AT22</xm:sqref>
            </x14:sparkline>
          </x14:sparklines>
        </x14:sparklineGroup>
        <x14:sparklineGroup lineWeight="1.25" displayEmptyCellsAs="gap" high="1" low="1" displayHidden="1" xr2:uid="{C82C0207-AA2A-49BC-9EAF-DB25083F79D8}">
          <x14:colorSeries rgb="FF0E4D5C"/>
          <x14:colorNegative rgb="FFD00000"/>
          <x14:colorAxis rgb="FF000000"/>
          <x14:colorMarkers rgb="FFD00000"/>
          <x14:colorFirst rgb="FFD00000"/>
          <x14:colorLast rgb="FFD00000"/>
          <x14:colorHigh rgb="FF14776B"/>
          <x14:colorLow rgb="FF9C5142"/>
          <x14:sparklines>
            <x14:sparkline>
              <xm:f>'PPTO 2027'!V21:AG21</xm:f>
              <xm:sqref>AT21</xm:sqref>
            </x14:sparkline>
          </x14:sparklines>
        </x14:sparklineGroup>
        <x14:sparklineGroup lineWeight="1.25" displayEmptyCellsAs="gap" high="1" low="1" displayHidden="1" xr2:uid="{10903C7F-AE0F-43BF-8BF1-D513E5A2AECD}">
          <x14:colorSeries rgb="FF0E4D5C"/>
          <x14:colorNegative rgb="FFD00000"/>
          <x14:colorAxis rgb="FF000000"/>
          <x14:colorMarkers rgb="FFD00000"/>
          <x14:colorFirst rgb="FFD00000"/>
          <x14:colorLast rgb="FFD00000"/>
          <x14:colorHigh rgb="FF14776B"/>
          <x14:colorLow rgb="FF9C5142"/>
          <x14:sparklines>
            <x14:sparkline>
              <xm:f>'PPTO 2027'!V20:AG20</xm:f>
              <xm:sqref>AT20</xm:sqref>
            </x14:sparkline>
          </x14:sparklines>
        </x14:sparklineGroup>
        <x14:sparklineGroup lineWeight="1.25" displayEmptyCellsAs="gap" high="1" low="1" displayHidden="1" xr2:uid="{8A53DE7D-9B5E-43B4-8711-2672FC1C8DF3}">
          <x14:colorSeries rgb="FF0E4D5C"/>
          <x14:colorNegative rgb="FFD00000"/>
          <x14:colorAxis rgb="FF000000"/>
          <x14:colorMarkers rgb="FFD00000"/>
          <x14:colorFirst rgb="FFD00000"/>
          <x14:colorLast rgb="FFD00000"/>
          <x14:colorHigh rgb="FF14776B"/>
          <x14:colorLow rgb="FF9C5142"/>
          <x14:sparklines>
            <x14:sparkline>
              <xm:f>'PPTO 2027'!V19:AG19</xm:f>
              <xm:sqref>AT19</xm:sqref>
            </x14:sparkline>
          </x14:sparklines>
        </x14:sparklineGroup>
        <x14:sparklineGroup lineWeight="1.25" displayEmptyCellsAs="gap" high="1" low="1" displayHidden="1" xr2:uid="{ADA1983A-9E10-426D-B437-1DCCA041DEAE}">
          <x14:colorSeries rgb="FF0E4D5C"/>
          <x14:colorNegative rgb="FFD00000"/>
          <x14:colorAxis rgb="FF000000"/>
          <x14:colorMarkers rgb="FFD00000"/>
          <x14:colorFirst rgb="FFD00000"/>
          <x14:colorLast rgb="FFD00000"/>
          <x14:colorHigh rgb="FF14776B"/>
          <x14:colorLow rgb="FF9C5142"/>
          <x14:sparklines>
            <x14:sparkline>
              <xm:f>'PPTO 2027'!V17:AG17</xm:f>
              <xm:sqref>AT17</xm:sqref>
            </x14:sparkline>
          </x14:sparklines>
        </x14:sparklineGroup>
        <x14:sparklineGroup lineWeight="1.25" displayEmptyCellsAs="gap" high="1" low="1" displayHidden="1" xr2:uid="{DBA9E3BB-B5DF-4450-A87A-5650551D134C}">
          <x14:colorSeries rgb="FF0E4D5C"/>
          <x14:colorNegative rgb="FFD00000"/>
          <x14:colorAxis rgb="FF000000"/>
          <x14:colorMarkers rgb="FFD00000"/>
          <x14:colorFirst rgb="FFD00000"/>
          <x14:colorLast rgb="FFD00000"/>
          <x14:colorHigh rgb="FF14776B"/>
          <x14:colorLow rgb="FF9C5142"/>
          <x14:sparklines>
            <x14:sparkline>
              <xm:f>'PPTO 2027'!V16:AG16</xm:f>
              <xm:sqref>AT16</xm:sqref>
            </x14:sparkline>
          </x14:sparklines>
        </x14:sparklineGroup>
        <x14:sparklineGroup lineWeight="1.25" displayEmptyCellsAs="gap" high="1" low="1" displayHidden="1" xr2:uid="{648D7AC1-4024-4E9B-B259-CCAEF300BFA0}">
          <x14:colorSeries rgb="FF0E4D5C"/>
          <x14:colorNegative rgb="FFD00000"/>
          <x14:colorAxis rgb="FF000000"/>
          <x14:colorMarkers rgb="FFD00000"/>
          <x14:colorFirst rgb="FFD00000"/>
          <x14:colorLast rgb="FFD00000"/>
          <x14:colorHigh rgb="FF14776B"/>
          <x14:colorLow rgb="FF9C5142"/>
          <x14:sparklines>
            <x14:sparkline>
              <xm:f>'PPTO 2027'!V15:AG15</xm:f>
              <xm:sqref>AT15</xm:sqref>
            </x14:sparkline>
          </x14:sparklines>
        </x14:sparklineGroup>
        <x14:sparklineGroup lineWeight="1.25" displayEmptyCellsAs="gap" high="1" low="1" displayHidden="1" xr2:uid="{4D04D593-229F-4ACB-A4E1-AC593EFECE00}">
          <x14:colorSeries rgb="FF0E4D5C"/>
          <x14:colorNegative rgb="FFD00000"/>
          <x14:colorAxis rgb="FF000000"/>
          <x14:colorMarkers rgb="FFD00000"/>
          <x14:colorFirst rgb="FFD00000"/>
          <x14:colorLast rgb="FFD00000"/>
          <x14:colorHigh rgb="FF14776B"/>
          <x14:colorLow rgb="FF9C5142"/>
          <x14:sparklines>
            <x14:sparkline>
              <xm:f>'PPTO 2027'!V14:AG14</xm:f>
              <xm:sqref>AT14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00B73-7A71-4672-81FE-42C821965380}">
  <sheetPr codeName="Hoja4">
    <tabColor rgb="FF0E4D5C"/>
  </sheetPr>
  <dimension ref="B2:S37"/>
  <sheetViews>
    <sheetView showGridLines="0" topLeftCell="A19" zoomScaleNormal="100" workbookViewId="0">
      <selection activeCell="I31" sqref="I31"/>
    </sheetView>
  </sheetViews>
  <sheetFormatPr baseColWidth="10" defaultRowHeight="14" x14ac:dyDescent="0.4"/>
  <cols>
    <col min="1" max="1" width="2.6328125" style="2" customWidth="1"/>
    <col min="2" max="2" width="30.6328125" style="2" customWidth="1"/>
    <col min="3" max="4" width="11.6328125" style="2" customWidth="1"/>
    <col min="5" max="5" width="10.6328125" style="2" customWidth="1"/>
    <col min="6" max="6" width="12.6328125" style="2" customWidth="1"/>
    <col min="7" max="7" width="2.6328125" style="2" customWidth="1"/>
    <col min="8" max="19" width="7.81640625" style="2" customWidth="1"/>
    <col min="20" max="16384" width="10.90625" style="2"/>
  </cols>
  <sheetData>
    <row r="2" spans="2:6" x14ac:dyDescent="0.4">
      <c r="B2" s="4" t="s">
        <v>161</v>
      </c>
    </row>
    <row r="3" spans="2:6" x14ac:dyDescent="0.4">
      <c r="B3" s="3" t="s">
        <v>162</v>
      </c>
    </row>
    <row r="4" spans="2:6" x14ac:dyDescent="0.4">
      <c r="B4" s="125" t="s">
        <v>2</v>
      </c>
    </row>
    <row r="6" spans="2:6" x14ac:dyDescent="0.4">
      <c r="B6" s="91" t="s">
        <v>163</v>
      </c>
      <c r="C6" s="92" t="s">
        <v>164</v>
      </c>
      <c r="D6" s="92" t="s">
        <v>165</v>
      </c>
      <c r="E6" s="92" t="s">
        <v>21</v>
      </c>
      <c r="F6" s="92" t="s">
        <v>22</v>
      </c>
    </row>
    <row r="7" spans="2:6" x14ac:dyDescent="0.4">
      <c r="B7" s="7" t="s">
        <v>64</v>
      </c>
      <c r="C7" s="97">
        <f>(SUMIFS(qPPTO[Real],qPPTO[Línea],"Ingresos operacionales"))/1000000</f>
        <v>12000</v>
      </c>
      <c r="D7" s="97">
        <f>(SUMIFS(qPPTO[Presupuesto],qPPTO[Línea],"Ingresos operacionales"))/1000000</f>
        <v>13656.6</v>
      </c>
      <c r="E7" s="97">
        <f t="shared" ref="E7:E19" si="0">D7-C7</f>
        <v>1656.6000000000004</v>
      </c>
      <c r="F7" s="101">
        <f t="shared" ref="F7:F19" si="1">IFERROR(E7/ABS(C7),"")</f>
        <v>0.13805000000000003</v>
      </c>
    </row>
    <row r="8" spans="2:6" x14ac:dyDescent="0.4">
      <c r="B8" s="29" t="s">
        <v>73</v>
      </c>
      <c r="C8" s="98">
        <f>(SUMIFS(qPPTO[Real],qPPTO[Línea],"Costo de ventas"))/1000000</f>
        <v>7630</v>
      </c>
      <c r="D8" s="98">
        <f>(SUMIFS(qPPTO[Presupuesto],qPPTO[Línea],"Costo de ventas"))/1000000</f>
        <v>8532.6290000000008</v>
      </c>
      <c r="E8" s="98">
        <f t="shared" si="0"/>
        <v>902.62900000000081</v>
      </c>
      <c r="F8" s="102">
        <f t="shared" si="1"/>
        <v>0.11830000000000011</v>
      </c>
    </row>
    <row r="9" spans="2:6" x14ac:dyDescent="0.4">
      <c r="B9" s="38" t="s">
        <v>80</v>
      </c>
      <c r="C9" s="99">
        <f>(SUMIFS(qPPTO[Real],qPPTO[Línea],"Ingresos operacionales")-SUMIFS(qPPTO[Real],qPPTO[Línea],"Costo de ventas"))/1000000</f>
        <v>4370</v>
      </c>
      <c r="D9" s="99">
        <f>(SUMIFS(qPPTO[Presupuesto],qPPTO[Línea],"Ingresos operacionales")-SUMIFS(qPPTO[Presupuesto],qPPTO[Línea],"Costo de ventas"))/1000000</f>
        <v>5123.9709999999995</v>
      </c>
      <c r="E9" s="99">
        <f t="shared" si="0"/>
        <v>753.97099999999955</v>
      </c>
      <c r="F9" s="103">
        <f t="shared" si="1"/>
        <v>0.17253340961098387</v>
      </c>
    </row>
    <row r="10" spans="2:6" x14ac:dyDescent="0.4">
      <c r="B10" s="29" t="s">
        <v>86</v>
      </c>
      <c r="C10" s="98">
        <f>(SUMIFS(qPPTO[Real],qPPTO[Línea],"Gastos de administración"))/1000000</f>
        <v>1260</v>
      </c>
      <c r="D10" s="98">
        <f>(SUMIFS(qPPTO[Presupuesto],qPPTO[Línea],"Gastos de administración"))/1000000</f>
        <v>1290</v>
      </c>
      <c r="E10" s="98">
        <f t="shared" si="0"/>
        <v>30</v>
      </c>
      <c r="F10" s="102">
        <f t="shared" si="1"/>
        <v>2.3809523809523808E-2</v>
      </c>
    </row>
    <row r="11" spans="2:6" x14ac:dyDescent="0.4">
      <c r="B11" s="29" t="s">
        <v>100</v>
      </c>
      <c r="C11" s="98">
        <f>(SUMIFS(qPPTO[Real],qPPTO[Línea],"Gastos de ventas"))/1000000</f>
        <v>2130</v>
      </c>
      <c r="D11" s="98">
        <f>(SUMIFS(qPPTO[Presupuesto],qPPTO[Línea],"Gastos de ventas"))/1000000</f>
        <v>2349.36</v>
      </c>
      <c r="E11" s="98">
        <f t="shared" si="0"/>
        <v>219.36000000000013</v>
      </c>
      <c r="F11" s="102">
        <f t="shared" si="1"/>
        <v>0.10298591549295781</v>
      </c>
    </row>
    <row r="12" spans="2:6" x14ac:dyDescent="0.4">
      <c r="B12" s="38" t="s">
        <v>152</v>
      </c>
      <c r="C12" s="99">
        <f>(SUMIFS(qPPTO[Real],qPPTO[Línea],"Ingresos operacionales")-SUMIFS(qPPTO[Real],qPPTO[Línea],"Costo de ventas")-SUMIFS(qPPTO[Real],qPPTO[Línea],"Gastos de administración")-SUMIFS(qPPTO[Real],qPPTO[Línea],"Gastos de ventas"))/1000000</f>
        <v>980</v>
      </c>
      <c r="D12" s="99">
        <f>(SUMIFS(qPPTO[Presupuesto],qPPTO[Línea],"Ingresos operacionales")-SUMIFS(qPPTO[Presupuesto],qPPTO[Línea],"Costo de ventas")-SUMIFS(qPPTO[Presupuesto],qPPTO[Línea],"Gastos de administración")-SUMIFS(qPPTO[Presupuesto],qPPTO[Línea],"Gastos de ventas"))/1000000</f>
        <v>1484.6110000000001</v>
      </c>
      <c r="E12" s="99">
        <f t="shared" si="0"/>
        <v>504.6110000000001</v>
      </c>
      <c r="F12" s="103">
        <f t="shared" si="1"/>
        <v>0.51490918367346949</v>
      </c>
    </row>
    <row r="13" spans="2:6" x14ac:dyDescent="0.4">
      <c r="B13" s="38" t="s">
        <v>111</v>
      </c>
      <c r="C13" s="99">
        <f>(SUMIFS(qPPTO[Real],qPPTO[Línea],"Ingresos operacionales")-SUMIFS(qPPTO[Real],qPPTO[Línea],"Costo de ventas")-SUMIFS(qPPTO[Real],qPPTO[Línea],"Gastos de administración")-SUMIFS(qPPTO[Real],qPPTO[Línea],"Gastos de ventas")+SUMIFS(qPPTO[Real],qPPTO[Cuenta],"Depreciación y amortización"))/1000000</f>
        <v>1160</v>
      </c>
      <c r="D13" s="99">
        <f>(SUMIFS(qPPTO[Presupuesto],qPPTO[Línea],"Ingresos operacionales")-SUMIFS(qPPTO[Presupuesto],qPPTO[Línea],"Costo de ventas")-SUMIFS(qPPTO[Presupuesto],qPPTO[Línea],"Gastos de administración")-SUMIFS(qPPTO[Presupuesto],qPPTO[Línea],"Gastos de ventas")+SUMIFS(qPPTO[Presupuesto],qPPTO[Cuenta],"Depreciación y amortización"))/1000000</f>
        <v>1664.6110000000001</v>
      </c>
      <c r="E13" s="99">
        <f t="shared" si="0"/>
        <v>504.6110000000001</v>
      </c>
      <c r="F13" s="103">
        <f t="shared" si="1"/>
        <v>0.43500948275862078</v>
      </c>
    </row>
    <row r="14" spans="2:6" x14ac:dyDescent="0.4">
      <c r="B14" s="29" t="s">
        <v>115</v>
      </c>
      <c r="C14" s="98">
        <f>(SUMIFS(qPPTO[Real],qPPTO[Línea],"Gastos financieros"))/1000000</f>
        <v>308</v>
      </c>
      <c r="D14" s="98">
        <f>(SUMIFS(qPPTO[Presupuesto],qPPTO[Línea],"Gastos financieros"))/1000000</f>
        <v>283.92</v>
      </c>
      <c r="E14" s="98">
        <f t="shared" si="0"/>
        <v>-24.079999999999984</v>
      </c>
      <c r="F14" s="102">
        <f t="shared" si="1"/>
        <v>-7.818181818181813E-2</v>
      </c>
    </row>
    <row r="15" spans="2:6" x14ac:dyDescent="0.4">
      <c r="B15" s="29" t="s">
        <v>122</v>
      </c>
      <c r="C15" s="98">
        <f>(SUMIFS(qPPTO[Real],qPPTO[Línea],"Otros ingresos no operacionales"))/1000000</f>
        <v>60</v>
      </c>
      <c r="D15" s="98">
        <f>(SUMIFS(qPPTO[Presupuesto],qPPTO[Línea],"Otros ingresos no operacionales"))/1000000</f>
        <v>62.4</v>
      </c>
      <c r="E15" s="98">
        <f t="shared" si="0"/>
        <v>2.3999999999999986</v>
      </c>
      <c r="F15" s="102">
        <f t="shared" si="1"/>
        <v>3.9999999999999973E-2</v>
      </c>
    </row>
    <row r="16" spans="2:6" x14ac:dyDescent="0.4">
      <c r="B16" s="29" t="s">
        <v>126</v>
      </c>
      <c r="C16" s="98">
        <f>(SUMIFS(qPPTO[Real],qPPTO[Línea],"Otros gastos no operacionales"))/1000000</f>
        <v>40</v>
      </c>
      <c r="D16" s="98">
        <f>(SUMIFS(qPPTO[Presupuesto],qPPTO[Línea],"Otros gastos no operacionales"))/1000000</f>
        <v>40</v>
      </c>
      <c r="E16" s="98">
        <f t="shared" si="0"/>
        <v>0</v>
      </c>
      <c r="F16" s="102">
        <f t="shared" si="1"/>
        <v>0</v>
      </c>
    </row>
    <row r="17" spans="2:19" x14ac:dyDescent="0.4">
      <c r="B17" s="38" t="s">
        <v>128</v>
      </c>
      <c r="C17" s="99">
        <f>C12-C14+C15-C16</f>
        <v>692</v>
      </c>
      <c r="D17" s="99">
        <f>D12-D14+D15-D16</f>
        <v>1223.0910000000001</v>
      </c>
      <c r="E17" s="99">
        <f t="shared" si="0"/>
        <v>531.09100000000012</v>
      </c>
      <c r="F17" s="103">
        <f t="shared" si="1"/>
        <v>0.76747254335260129</v>
      </c>
    </row>
    <row r="18" spans="2:19" x14ac:dyDescent="0.4">
      <c r="B18" s="29" t="s">
        <v>129</v>
      </c>
      <c r="C18" s="98">
        <f>MAX(0,C17)*pTasaRenta</f>
        <v>242.2</v>
      </c>
      <c r="D18" s="98">
        <f>MAX(0,D17)*pTasaRenta</f>
        <v>428.08185000000003</v>
      </c>
      <c r="E18" s="98">
        <f t="shared" si="0"/>
        <v>185.88185000000004</v>
      </c>
      <c r="F18" s="102">
        <f t="shared" si="1"/>
        <v>0.7674725433526014</v>
      </c>
    </row>
    <row r="19" spans="2:19" ht="14.5" thickBot="1" x14ac:dyDescent="0.45">
      <c r="B19" s="96" t="s">
        <v>131</v>
      </c>
      <c r="C19" s="100">
        <f>C17-C18</f>
        <v>449.8</v>
      </c>
      <c r="D19" s="100">
        <f>D17-D18</f>
        <v>795.00915000000009</v>
      </c>
      <c r="E19" s="100">
        <f t="shared" si="0"/>
        <v>345.20915000000008</v>
      </c>
      <c r="F19" s="104">
        <f t="shared" si="1"/>
        <v>0.76747254335260129</v>
      </c>
    </row>
    <row r="21" spans="2:19" x14ac:dyDescent="0.4">
      <c r="B21" s="105" t="s">
        <v>166</v>
      </c>
      <c r="E21" s="106" t="s">
        <v>157</v>
      </c>
    </row>
    <row r="22" spans="2:19" x14ac:dyDescent="0.4">
      <c r="B22" s="7" t="s">
        <v>82</v>
      </c>
      <c r="C22" s="21">
        <f>IFERROR(C9/C7,0)</f>
        <v>0.36416666666666669</v>
      </c>
      <c r="D22" s="21">
        <f>IFERROR(D9/D7,0)</f>
        <v>0.3752010749381251</v>
      </c>
      <c r="E22" s="107">
        <f>(D22-C22)*100</f>
        <v>1.1034408271458407</v>
      </c>
      <c r="F22" s="7"/>
    </row>
    <row r="23" spans="2:19" x14ac:dyDescent="0.4">
      <c r="B23" s="29" t="s">
        <v>112</v>
      </c>
      <c r="C23" s="34">
        <f>IFERROR(C13/C7,0)</f>
        <v>9.6666666666666665E-2</v>
      </c>
      <c r="D23" s="34">
        <f>IFERROR(D13/D7,0)</f>
        <v>0.12189058770118479</v>
      </c>
      <c r="E23" s="109">
        <f>(D23-C23)*100</f>
        <v>2.522392103451812</v>
      </c>
      <c r="F23" s="29"/>
    </row>
    <row r="24" spans="2:19" x14ac:dyDescent="0.4">
      <c r="B24" s="9" t="s">
        <v>132</v>
      </c>
      <c r="C24" s="25">
        <f>IFERROR(C19/C7,0)</f>
        <v>3.7483333333333334E-2</v>
      </c>
      <c r="D24" s="25">
        <f>IFERROR(D19/D7,0)</f>
        <v>5.8214281006985641E-2</v>
      </c>
      <c r="E24" s="108">
        <f>(D24-C24)*100</f>
        <v>2.0730947673652307</v>
      </c>
      <c r="F24" s="9"/>
    </row>
    <row r="27" spans="2:19" x14ac:dyDescent="0.4">
      <c r="B27" s="4" t="s">
        <v>167</v>
      </c>
    </row>
    <row r="28" spans="2:19" x14ac:dyDescent="0.4">
      <c r="B28" s="3" t="s">
        <v>168</v>
      </c>
    </row>
    <row r="30" spans="2:19" x14ac:dyDescent="0.4">
      <c r="B30" s="91" t="s">
        <v>14</v>
      </c>
      <c r="C30" s="110" t="s">
        <v>164</v>
      </c>
      <c r="D30" s="110" t="s">
        <v>165</v>
      </c>
      <c r="E30" s="110" t="s">
        <v>22</v>
      </c>
      <c r="F30" s="110" t="s">
        <v>169</v>
      </c>
      <c r="G30" s="111"/>
      <c r="H30" s="110" t="s">
        <v>138</v>
      </c>
      <c r="I30" s="110" t="s">
        <v>139</v>
      </c>
      <c r="J30" s="110" t="s">
        <v>140</v>
      </c>
      <c r="K30" s="110" t="s">
        <v>141</v>
      </c>
      <c r="L30" s="110" t="s">
        <v>142</v>
      </c>
      <c r="M30" s="110" t="s">
        <v>143</v>
      </c>
      <c r="N30" s="110" t="s">
        <v>144</v>
      </c>
      <c r="O30" s="110" t="s">
        <v>136</v>
      </c>
      <c r="P30" s="110" t="s">
        <v>145</v>
      </c>
      <c r="Q30" s="110" t="s">
        <v>146</v>
      </c>
      <c r="R30" s="110" t="s">
        <v>147</v>
      </c>
      <c r="S30" s="110" t="s">
        <v>148</v>
      </c>
    </row>
    <row r="31" spans="2:19" ht="24" customHeight="1" x14ac:dyDescent="0.4">
      <c r="B31" s="112" t="s">
        <v>64</v>
      </c>
      <c r="C31" s="118">
        <f>C7</f>
        <v>12000</v>
      </c>
      <c r="D31" s="118">
        <f>D7</f>
        <v>13656.6</v>
      </c>
      <c r="E31" s="113">
        <f>F7</f>
        <v>0.13805000000000003</v>
      </c>
      <c r="F31" s="112"/>
      <c r="G31" s="112"/>
      <c r="H31" s="121">
        <f>IFERROR((SUMIFS(qPPTO[Presupuesto],qPPTO[Línea],"Ingresos operacionales",qPPTO[Mes],"Ene"))/(SUMIFS(qPPTO[Real],qPPTO[Línea],"Ingresos operacionales",qPPTO[Mes],"Ene"))-1,"")</f>
        <v>0.13805000000000001</v>
      </c>
      <c r="I31" s="121">
        <f>IFERROR((SUMIFS(qPPTO[Presupuesto],qPPTO[Línea],"Ingresos operacionales",qPPTO[Mes],"Feb"))/(SUMIFS(qPPTO[Real],qPPTO[Línea],"Ingresos operacionales",qPPTO[Mes],"Feb"))-1,"")</f>
        <v>0.13805000000000001</v>
      </c>
      <c r="J31" s="121">
        <f>IFERROR((SUMIFS(qPPTO[Presupuesto],qPPTO[Línea],"Ingresos operacionales",qPPTO[Mes],"Mar"))/(SUMIFS(qPPTO[Real],qPPTO[Línea],"Ingresos operacionales",qPPTO[Mes],"Mar"))-1,"")</f>
        <v>0.13805000000000001</v>
      </c>
      <c r="K31" s="121">
        <f>IFERROR((SUMIFS(qPPTO[Presupuesto],qPPTO[Línea],"Ingresos operacionales",qPPTO[Mes],"Abr"))/(SUMIFS(qPPTO[Real],qPPTO[Línea],"Ingresos operacionales",qPPTO[Mes],"Abr"))-1,"")</f>
        <v>0.13805000000000001</v>
      </c>
      <c r="L31" s="121">
        <f>IFERROR((SUMIFS(qPPTO[Presupuesto],qPPTO[Línea],"Ingresos operacionales",qPPTO[Mes],"May"))/(SUMIFS(qPPTO[Real],qPPTO[Línea],"Ingresos operacionales",qPPTO[Mes],"May"))-1,"")</f>
        <v>0.13805000000000001</v>
      </c>
      <c r="M31" s="121">
        <f>IFERROR((SUMIFS(qPPTO[Presupuesto],qPPTO[Línea],"Ingresos operacionales",qPPTO[Mes],"Jun"))/(SUMIFS(qPPTO[Real],qPPTO[Línea],"Ingresos operacionales",qPPTO[Mes],"Jun"))-1,"")</f>
        <v>0.13805000000000001</v>
      </c>
      <c r="N31" s="121">
        <f>IFERROR((SUMIFS(qPPTO[Presupuesto],qPPTO[Línea],"Ingresos operacionales",qPPTO[Mes],"Jul"))/(SUMIFS(qPPTO[Real],qPPTO[Línea],"Ingresos operacionales",qPPTO[Mes],"Jul"))-1,"")</f>
        <v>0.13805000000000001</v>
      </c>
      <c r="O31" s="121">
        <f>IFERROR((SUMIFS(qPPTO[Presupuesto],qPPTO[Línea],"Ingresos operacionales",qPPTO[Mes],"Ago"))/(SUMIFS(qPPTO[Real],qPPTO[Línea],"Ingresos operacionales",qPPTO[Mes],"Ago"))-1,"")</f>
        <v>0.13805000000000001</v>
      </c>
      <c r="P31" s="121">
        <f>IFERROR((SUMIFS(qPPTO[Presupuesto],qPPTO[Línea],"Ingresos operacionales",qPPTO[Mes],"Sep"))/(SUMIFS(qPPTO[Real],qPPTO[Línea],"Ingresos operacionales",qPPTO[Mes],"Sep"))-1,"")</f>
        <v>0.13805000000000001</v>
      </c>
      <c r="Q31" s="121">
        <f>IFERROR((SUMIFS(qPPTO[Presupuesto],qPPTO[Línea],"Ingresos operacionales",qPPTO[Mes],"Oct"))/(SUMIFS(qPPTO[Real],qPPTO[Línea],"Ingresos operacionales",qPPTO[Mes],"Oct"))-1,"")</f>
        <v>0.13805000000000001</v>
      </c>
      <c r="R31" s="121">
        <f>IFERROR((SUMIFS(qPPTO[Presupuesto],qPPTO[Línea],"Ingresos operacionales",qPPTO[Mes],"Nov"))/(SUMIFS(qPPTO[Real],qPPTO[Línea],"Ingresos operacionales",qPPTO[Mes],"Nov"))-1,"")</f>
        <v>0.13805000000000001</v>
      </c>
      <c r="S31" s="121">
        <f>IFERROR((SUMIFS(qPPTO[Presupuesto],qPPTO[Línea],"Ingresos operacionales",qPPTO[Mes],"Dic"))/(SUMIFS(qPPTO[Real],qPPTO[Línea],"Ingresos operacionales",qPPTO[Mes],"Dic"))-1,"")</f>
        <v>0.13805000000000001</v>
      </c>
    </row>
    <row r="32" spans="2:19" ht="24" customHeight="1" x14ac:dyDescent="0.4">
      <c r="B32" s="116" t="s">
        <v>80</v>
      </c>
      <c r="C32" s="119">
        <f>C9</f>
        <v>4370</v>
      </c>
      <c r="D32" s="119">
        <f>D9</f>
        <v>5123.9709999999995</v>
      </c>
      <c r="E32" s="117">
        <f>F9</f>
        <v>0.17253340961098387</v>
      </c>
      <c r="F32" s="116"/>
      <c r="G32" s="116"/>
      <c r="H32" s="122">
        <f>IFERROR((SUMIFS(qPPTO[Presupuesto],qPPTO[Línea],"Ingresos operacionales",qPPTO[Mes],"Ene")-SUMIFS(qPPTO[Presupuesto],qPPTO[Línea],"Costo de ventas",qPPTO[Mes],"Ene"))/(SUMIFS(qPPTO[Real],qPPTO[Línea],"Ingresos operacionales",qPPTO[Mes],"Ene")-SUMIFS(qPPTO[Real],qPPTO[Línea],"Costo de ventas",qPPTO[Mes],"Ene"))-1,"")</f>
        <v>0.17253961551664942</v>
      </c>
      <c r="I32" s="122">
        <f>IFERROR((SUMIFS(qPPTO[Presupuesto],qPPTO[Línea],"Ingresos operacionales",qPPTO[Mes],"Feb")-SUMIFS(qPPTO[Presupuesto],qPPTO[Línea],"Costo de ventas",qPPTO[Mes],"Feb"))/(SUMIFS(qPPTO[Real],qPPTO[Línea],"Ingresos operacionales",qPPTO[Mes],"Feb")-SUMIFS(qPPTO[Real],qPPTO[Línea],"Costo de ventas",qPPTO[Mes],"Feb"))-1,"")</f>
        <v>0.17252319121447024</v>
      </c>
      <c r="J32" s="122">
        <f>IFERROR((SUMIFS(qPPTO[Presupuesto],qPPTO[Línea],"Ingresos operacionales",qPPTO[Mes],"Mar")-SUMIFS(qPPTO[Presupuesto],qPPTO[Línea],"Costo de ventas",qPPTO[Mes],"Mar"))/(SUMIFS(qPPTO[Real],qPPTO[Línea],"Ingresos operacionales",qPPTO[Mes],"Mar")-SUMIFS(qPPTO[Real],qPPTO[Línea],"Costo de ventas",qPPTO[Mes],"Mar"))-1,"")</f>
        <v>0.17254255565192245</v>
      </c>
      <c r="K32" s="122">
        <f>IFERROR((SUMIFS(qPPTO[Presupuesto],qPPTO[Línea],"Ingresos operacionales",qPPTO[Mes],"Abr")-SUMIFS(qPPTO[Presupuesto],qPPTO[Línea],"Costo de ventas",qPPTO[Mes],"Abr"))/(SUMIFS(qPPTO[Real],qPPTO[Línea],"Ingresos operacionales",qPPTO[Mes],"Abr")-SUMIFS(qPPTO[Real],qPPTO[Línea],"Costo de ventas",qPPTO[Mes],"Abr"))-1,"")</f>
        <v>0.17254255565192245</v>
      </c>
      <c r="L32" s="122">
        <f>IFERROR((SUMIFS(qPPTO[Presupuesto],qPPTO[Línea],"Ingresos operacionales",qPPTO[Mes],"May")-SUMIFS(qPPTO[Presupuesto],qPPTO[Línea],"Costo de ventas",qPPTO[Mes],"May"))/(SUMIFS(qPPTO[Real],qPPTO[Línea],"Ingresos operacionales",qPPTO[Mes],"May")-SUMIFS(qPPTO[Real],qPPTO[Línea],"Costo de ventas",qPPTO[Mes],"May"))-1,"")</f>
        <v>0.1725284459088412</v>
      </c>
      <c r="M32" s="122">
        <f>IFERROR((SUMIFS(qPPTO[Presupuesto],qPPTO[Línea],"Ingresos operacionales",qPPTO[Mes],"Jun")-SUMIFS(qPPTO[Presupuesto],qPPTO[Línea],"Costo de ventas",qPPTO[Mes],"Jun"))/(SUMIFS(qPPTO[Real],qPPTO[Línea],"Ingresos operacionales",qPPTO[Mes],"Jun")-SUMIFS(qPPTO[Real],qPPTO[Línea],"Costo de ventas",qPPTO[Mes],"Jun"))-1,"")</f>
        <v>0.1725284459088412</v>
      </c>
      <c r="N32" s="122">
        <f>IFERROR((SUMIFS(qPPTO[Presupuesto],qPPTO[Línea],"Ingresos operacionales",qPPTO[Mes],"Jul")-SUMIFS(qPPTO[Presupuesto],qPPTO[Línea],"Costo de ventas",qPPTO[Mes],"Jul"))/(SUMIFS(qPPTO[Real],qPPTO[Línea],"Ingresos operacionales",qPPTO[Mes],"Jul")-SUMIFS(qPPTO[Real],qPPTO[Línea],"Costo de ventas",qPPTO[Mes],"Jul"))-1,"")</f>
        <v>0.1725284459088412</v>
      </c>
      <c r="O32" s="122">
        <f>IFERROR((SUMIFS(qPPTO[Presupuesto],qPPTO[Línea],"Ingresos operacionales",qPPTO[Mes],"Ago")-SUMIFS(qPPTO[Presupuesto],qPPTO[Línea],"Costo de ventas",qPPTO[Mes],"Ago"))/(SUMIFS(qPPTO[Real],qPPTO[Línea],"Ingresos operacionales",qPPTO[Mes],"Ago")-SUMIFS(qPPTO[Real],qPPTO[Línea],"Costo de ventas",qPPTO[Mes],"Ago"))-1,"")</f>
        <v>0.17252986401673631</v>
      </c>
      <c r="P32" s="122">
        <f>IFERROR((SUMIFS(qPPTO[Presupuesto],qPPTO[Línea],"Ingresos operacionales",qPPTO[Mes],"Sep")-SUMIFS(qPPTO[Presupuesto],qPPTO[Línea],"Costo de ventas",qPPTO[Mes],"Sep"))/(SUMIFS(qPPTO[Real],qPPTO[Línea],"Ingresos operacionales",qPPTO[Mes],"Sep")-SUMIFS(qPPTO[Real],qPPTO[Línea],"Costo de ventas",qPPTO[Mes],"Sep"))-1,"")</f>
        <v>0.1725284459088412</v>
      </c>
      <c r="Q32" s="122">
        <f>IFERROR((SUMIFS(qPPTO[Presupuesto],qPPTO[Línea],"Ingresos operacionales",qPPTO[Mes],"Oct")-SUMIFS(qPPTO[Presupuesto],qPPTO[Línea],"Costo de ventas",qPPTO[Mes],"Oct"))/(SUMIFS(qPPTO[Real],qPPTO[Línea],"Ingresos operacionales",qPPTO[Mes],"Oct")-SUMIFS(qPPTO[Real],qPPTO[Línea],"Costo de ventas",qPPTO[Mes],"Oct"))-1,"")</f>
        <v>0.17252986401673631</v>
      </c>
      <c r="R32" s="122">
        <f>IFERROR((SUMIFS(qPPTO[Presupuesto],qPPTO[Línea],"Ingresos operacionales",qPPTO[Mes],"Nov")-SUMIFS(qPPTO[Presupuesto],qPPTO[Línea],"Costo de ventas",qPPTO[Mes],"Nov"))/(SUMIFS(qPPTO[Real],qPPTO[Línea],"Ingresos operacionales",qPPTO[Mes],"Nov")-SUMIFS(qPPTO[Real],qPPTO[Línea],"Costo de ventas",qPPTO[Mes],"Nov"))-1,"")</f>
        <v>0.17253233046800376</v>
      </c>
      <c r="S32" s="122">
        <f>IFERROR((SUMIFS(qPPTO[Presupuesto],qPPTO[Línea],"Ingresos operacionales",qPPTO[Mes],"Dic")-SUMIFS(qPPTO[Presupuesto],qPPTO[Línea],"Costo de ventas",qPPTO[Mes],"Dic"))/(SUMIFS(qPPTO[Real],qPPTO[Línea],"Ingresos operacionales",qPPTO[Mes],"Dic")-SUMIFS(qPPTO[Real],qPPTO[Línea],"Costo de ventas",qPPTO[Mes],"Dic"))-1,"")</f>
        <v>0.17254582284275588</v>
      </c>
    </row>
    <row r="33" spans="2:19" ht="24" customHeight="1" x14ac:dyDescent="0.4">
      <c r="B33" s="116" t="s">
        <v>152</v>
      </c>
      <c r="C33" s="119">
        <f>C12</f>
        <v>980</v>
      </c>
      <c r="D33" s="119">
        <f>D12</f>
        <v>1484.6110000000001</v>
      </c>
      <c r="E33" s="117">
        <f>F12</f>
        <v>0.51490918367346949</v>
      </c>
      <c r="F33" s="116"/>
      <c r="G33" s="116"/>
      <c r="H33" s="122">
        <f>IFERROR((SUMIFS(qPPTO[Presupuesto],qPPTO[Línea],"Ingresos operacionales",qPPTO[Mes],"Ene")-SUMIFS(qPPTO[Presupuesto],qPPTO[Línea],"Costo de ventas",qPPTO[Mes],"Ene")-SUMIFS(qPPTO[Presupuesto],qPPTO[Línea],"Gastos de administración",qPPTO[Mes],"Ene")-SUMIFS(qPPTO[Presupuesto],qPPTO[Línea],"Gastos de ventas",qPPTO[Mes],"Ene"))/(SUMIFS(qPPTO[Real],qPPTO[Línea],"Ingresos operacionales",qPPTO[Mes],"Ene")-SUMIFS(qPPTO[Real],qPPTO[Línea],"Costo de ventas",qPPTO[Mes],"Ene")-SUMIFS(qPPTO[Real],qPPTO[Línea],"Gastos de administración",qPPTO[Mes],"Ene")-SUMIFS(qPPTO[Real],qPPTO[Línea],"Gastos de ventas",qPPTO[Mes],"Ene"))-1,"")</f>
        <v>1.5383227272727273</v>
      </c>
      <c r="I33" s="122">
        <f>IFERROR((SUMIFS(qPPTO[Presupuesto],qPPTO[Línea],"Ingresos operacionales",qPPTO[Mes],"Feb")-SUMIFS(qPPTO[Presupuesto],qPPTO[Línea],"Costo de ventas",qPPTO[Mes],"Feb")-SUMIFS(qPPTO[Presupuesto],qPPTO[Línea],"Gastos de administración",qPPTO[Mes],"Feb")-SUMIFS(qPPTO[Presupuesto],qPPTO[Línea],"Gastos de ventas",qPPTO[Mes],"Feb"))/(SUMIFS(qPPTO[Real],qPPTO[Línea],"Ingresos operacionales",qPPTO[Mes],"Feb")-SUMIFS(qPPTO[Real],qPPTO[Línea],"Costo de ventas",qPPTO[Mes],"Feb")-SUMIFS(qPPTO[Real],qPPTO[Línea],"Gastos de administración",qPPTO[Mes],"Feb")-SUMIFS(qPPTO[Real],qPPTO[Línea],"Gastos de ventas",qPPTO[Mes],"Feb"))-1,"")</f>
        <v>0.94264632768361589</v>
      </c>
      <c r="J33" s="122">
        <f>IFERROR((SUMIFS(qPPTO[Presupuesto],qPPTO[Línea],"Ingresos operacionales",qPPTO[Mes],"Mar")-SUMIFS(qPPTO[Presupuesto],qPPTO[Línea],"Costo de ventas",qPPTO[Mes],"Mar")-SUMIFS(qPPTO[Presupuesto],qPPTO[Línea],"Gastos de administración",qPPTO[Mes],"Mar")-SUMIFS(qPPTO[Presupuesto],qPPTO[Línea],"Gastos de ventas",qPPTO[Mes],"Mar"))/(SUMIFS(qPPTO[Real],qPPTO[Línea],"Ingresos operacionales",qPPTO[Mes],"Mar")-SUMIFS(qPPTO[Real],qPPTO[Línea],"Costo de ventas",qPPTO[Mes],"Mar")-SUMIFS(qPPTO[Real],qPPTO[Línea],"Gastos de administración",qPPTO[Mes],"Mar")-SUMIFS(qPPTO[Real],qPPTO[Línea],"Gastos de ventas",qPPTO[Mes],"Mar"))-1,"")</f>
        <v>0.5921931921331316</v>
      </c>
      <c r="K33" s="122">
        <f>IFERROR((SUMIFS(qPPTO[Presupuesto],qPPTO[Línea],"Ingresos operacionales",qPPTO[Mes],"Abr")-SUMIFS(qPPTO[Presupuesto],qPPTO[Línea],"Costo de ventas",qPPTO[Mes],"Abr")-SUMIFS(qPPTO[Presupuesto],qPPTO[Línea],"Gastos de administración",qPPTO[Mes],"Abr")-SUMIFS(qPPTO[Presupuesto],qPPTO[Línea],"Gastos de ventas",qPPTO[Mes],"Abr"))/(SUMIFS(qPPTO[Real],qPPTO[Línea],"Ingresos operacionales",qPPTO[Mes],"Abr")-SUMIFS(qPPTO[Real],qPPTO[Línea],"Costo de ventas",qPPTO[Mes],"Abr")-SUMIFS(qPPTO[Real],qPPTO[Línea],"Gastos de administración",qPPTO[Mes],"Abr")-SUMIFS(qPPTO[Real],qPPTO[Línea],"Gastos de ventas",qPPTO[Mes],"Abr"))-1,"")</f>
        <v>0.5921931921331316</v>
      </c>
      <c r="L33" s="122">
        <f>IFERROR((SUMIFS(qPPTO[Presupuesto],qPPTO[Línea],"Ingresos operacionales",qPPTO[Mes],"May")-SUMIFS(qPPTO[Presupuesto],qPPTO[Línea],"Costo de ventas",qPPTO[Mes],"May")-SUMIFS(qPPTO[Presupuesto],qPPTO[Línea],"Gastos de administración",qPPTO[Mes],"May")-SUMIFS(qPPTO[Presupuesto],qPPTO[Línea],"Gastos de ventas",qPPTO[Mes],"May"))/(SUMIFS(qPPTO[Real],qPPTO[Línea],"Ingresos operacionales",qPPTO[Mes],"May")-SUMIFS(qPPTO[Real],qPPTO[Línea],"Costo de ventas",qPPTO[Mes],"May")-SUMIFS(qPPTO[Real],qPPTO[Línea],"Gastos de administración",qPPTO[Mes],"May")-SUMIFS(qPPTO[Real],qPPTO[Línea],"Gastos de ventas",qPPTO[Mes],"May"))-1,"")</f>
        <v>0.51474736842105262</v>
      </c>
      <c r="M33" s="122">
        <f>IFERROR((SUMIFS(qPPTO[Presupuesto],qPPTO[Línea],"Ingresos operacionales",qPPTO[Mes],"Jun")-SUMIFS(qPPTO[Presupuesto],qPPTO[Línea],"Costo de ventas",qPPTO[Mes],"Jun")-SUMIFS(qPPTO[Presupuesto],qPPTO[Línea],"Gastos de administración",qPPTO[Mes],"Jun")-SUMIFS(qPPTO[Presupuesto],qPPTO[Línea],"Gastos de ventas",qPPTO[Mes],"Jun"))/(SUMIFS(qPPTO[Real],qPPTO[Línea],"Ingresos operacionales",qPPTO[Mes],"Jun")-SUMIFS(qPPTO[Real],qPPTO[Línea],"Costo de ventas",qPPTO[Mes],"Jun")-SUMIFS(qPPTO[Real],qPPTO[Línea],"Gastos de administración",qPPTO[Mes],"Jun")-SUMIFS(qPPTO[Real],qPPTO[Línea],"Gastos de ventas",qPPTO[Mes],"Jun"))-1,"")</f>
        <v>0.51474736842105262</v>
      </c>
      <c r="N33" s="122">
        <f>IFERROR((SUMIFS(qPPTO[Presupuesto],qPPTO[Línea],"Ingresos operacionales",qPPTO[Mes],"Jul")-SUMIFS(qPPTO[Presupuesto],qPPTO[Línea],"Costo de ventas",qPPTO[Mes],"Jul")-SUMIFS(qPPTO[Presupuesto],qPPTO[Línea],"Gastos de administración",qPPTO[Mes],"Jul")-SUMIFS(qPPTO[Presupuesto],qPPTO[Línea],"Gastos de ventas",qPPTO[Mes],"Jul"))/(SUMIFS(qPPTO[Real],qPPTO[Línea],"Ingresos operacionales",qPPTO[Mes],"Jul")-SUMIFS(qPPTO[Real],qPPTO[Línea],"Costo de ventas",qPPTO[Mes],"Jul")-SUMIFS(qPPTO[Real],qPPTO[Línea],"Gastos de administración",qPPTO[Mes],"Jul")-SUMIFS(qPPTO[Real],qPPTO[Línea],"Gastos de ventas",qPPTO[Mes],"Jul"))-1,"")</f>
        <v>0.51474736842105262</v>
      </c>
      <c r="O33" s="122">
        <f>IFERROR((SUMIFS(qPPTO[Presupuesto],qPPTO[Línea],"Ingresos operacionales",qPPTO[Mes],"Ago")-SUMIFS(qPPTO[Presupuesto],qPPTO[Línea],"Costo de ventas",qPPTO[Mes],"Ago")-SUMIFS(qPPTO[Presupuesto],qPPTO[Línea],"Gastos de administración",qPPTO[Mes],"Ago")-SUMIFS(qPPTO[Presupuesto],qPPTO[Línea],"Gastos de ventas",qPPTO[Mes],"Ago"))/(SUMIFS(qPPTO[Real],qPPTO[Línea],"Ingresos operacionales",qPPTO[Mes],"Ago")-SUMIFS(qPPTO[Real],qPPTO[Línea],"Costo de ventas",qPPTO[Mes],"Ago")-SUMIFS(qPPTO[Real],qPPTO[Línea],"Gastos de administración",qPPTO[Mes],"Ago")-SUMIFS(qPPTO[Real],qPPTO[Línea],"Gastos de ventas",qPPTO[Mes],"Ago"))-1,"")</f>
        <v>0.46248888888888895</v>
      </c>
      <c r="P33" s="122">
        <f>IFERROR((SUMIFS(qPPTO[Presupuesto],qPPTO[Línea],"Ingresos operacionales",qPPTO[Mes],"Sep")-SUMIFS(qPPTO[Presupuesto],qPPTO[Línea],"Costo de ventas",qPPTO[Mes],"Sep")-SUMIFS(qPPTO[Presupuesto],qPPTO[Línea],"Gastos de administración",qPPTO[Mes],"Sep")-SUMIFS(qPPTO[Presupuesto],qPPTO[Línea],"Gastos de ventas",qPPTO[Mes],"Sep"))/(SUMIFS(qPPTO[Real],qPPTO[Línea],"Ingresos operacionales",qPPTO[Mes],"Sep")-SUMIFS(qPPTO[Real],qPPTO[Línea],"Costo de ventas",qPPTO[Mes],"Sep")-SUMIFS(qPPTO[Real],qPPTO[Línea],"Gastos de administración",qPPTO[Mes],"Sep")-SUMIFS(qPPTO[Real],qPPTO[Línea],"Gastos de ventas",qPPTO[Mes],"Sep"))-1,"")</f>
        <v>0.51474736842105262</v>
      </c>
      <c r="Q33" s="122">
        <f>IFERROR((SUMIFS(qPPTO[Presupuesto],qPPTO[Línea],"Ingresos operacionales",qPPTO[Mes],"Oct")-SUMIFS(qPPTO[Presupuesto],qPPTO[Línea],"Costo de ventas",qPPTO[Mes],"Oct")-SUMIFS(qPPTO[Presupuesto],qPPTO[Línea],"Gastos de administración",qPPTO[Mes],"Oct")-SUMIFS(qPPTO[Presupuesto],qPPTO[Línea],"Gastos de ventas",qPPTO[Mes],"Oct"))/(SUMIFS(qPPTO[Real],qPPTO[Línea],"Ingresos operacionales",qPPTO[Mes],"Oct")-SUMIFS(qPPTO[Real],qPPTO[Línea],"Costo de ventas",qPPTO[Mes],"Oct")-SUMIFS(qPPTO[Real],qPPTO[Línea],"Gastos de administración",qPPTO[Mes],"Oct")-SUMIFS(qPPTO[Real],qPPTO[Línea],"Gastos de ventas",qPPTO[Mes],"Oct"))-1,"")</f>
        <v>0.46248888888888895</v>
      </c>
      <c r="R33" s="122">
        <f>IFERROR((SUMIFS(qPPTO[Presupuesto],qPPTO[Línea],"Ingresos operacionales",qPPTO[Mes],"Nov")-SUMIFS(qPPTO[Presupuesto],qPPTO[Línea],"Costo de ventas",qPPTO[Mes],"Nov")-SUMIFS(qPPTO[Presupuesto],qPPTO[Línea],"Gastos de administración",qPPTO[Mes],"Nov")-SUMIFS(qPPTO[Presupuesto],qPPTO[Línea],"Gastos de ventas",qPPTO[Mes],"Nov"))/(SUMIFS(qPPTO[Real],qPPTO[Línea],"Ingresos operacionales",qPPTO[Mes],"Nov")-SUMIFS(qPPTO[Real],qPPTO[Línea],"Costo de ventas",qPPTO[Mes],"Nov")-SUMIFS(qPPTO[Real],qPPTO[Línea],"Gastos de administración",qPPTO[Mes],"Nov")-SUMIFS(qPPTO[Real],qPPTO[Línea],"Gastos de ventas",qPPTO[Mes],"Nov"))-1,"")</f>
        <v>0.39640656249999995</v>
      </c>
      <c r="S33" s="122">
        <f>IFERROR((SUMIFS(qPPTO[Presupuesto],qPPTO[Línea],"Ingresos operacionales",qPPTO[Mes],"Dic")-SUMIFS(qPPTO[Presupuesto],qPPTO[Línea],"Costo de ventas",qPPTO[Mes],"Dic")-SUMIFS(qPPTO[Presupuesto],qPPTO[Línea],"Gastos de administración",qPPTO[Mes],"Dic")-SUMIFS(qPPTO[Presupuesto],qPPTO[Línea],"Gastos de ventas",qPPTO[Mes],"Dic"))/(SUMIFS(qPPTO[Real],qPPTO[Línea],"Ingresos operacionales",qPPTO[Mes],"Dic")-SUMIFS(qPPTO[Real],qPPTO[Línea],"Costo de ventas",qPPTO[Mes],"Dic")-SUMIFS(qPPTO[Real],qPPTO[Línea],"Gastos de administración",qPPTO[Mes],"Dic")-SUMIFS(qPPTO[Real],qPPTO[Línea],"Gastos de ventas",qPPTO[Mes],"Dic"))-1,"")</f>
        <v>0.37396980474198038</v>
      </c>
    </row>
    <row r="34" spans="2:19" ht="24" customHeight="1" x14ac:dyDescent="0.4">
      <c r="B34" s="114" t="s">
        <v>111</v>
      </c>
      <c r="C34" s="120">
        <f>C13</f>
        <v>1160</v>
      </c>
      <c r="D34" s="120">
        <f>D13</f>
        <v>1664.6110000000001</v>
      </c>
      <c r="E34" s="115">
        <f>F13</f>
        <v>0.43500948275862078</v>
      </c>
      <c r="F34" s="114"/>
      <c r="G34" s="114"/>
      <c r="H34" s="123">
        <f>IFERROR((SUMIFS(qPPTO[Presupuesto],qPPTO[Línea],"Ingresos operacionales",qPPTO[Mes],"Ene")-SUMIFS(qPPTO[Presupuesto],qPPTO[Línea],"Costo de ventas",qPPTO[Mes],"Ene")-SUMIFS(qPPTO[Presupuesto],qPPTO[Línea],"Gastos de administración",qPPTO[Mes],"Ene")-SUMIFS(qPPTO[Presupuesto],qPPTO[Línea],"Gastos de ventas",qPPTO[Mes],"Ene")+SUMIFS(qPPTO[Presupuesto],qPPTO[Cuenta],"Depreciación y amortización",qPPTO[Mes],"Ene"))/(SUMIFS(qPPTO[Real],qPPTO[Línea],"Ingresos operacionales",qPPTO[Mes],"Ene")-SUMIFS(qPPTO[Real],qPPTO[Línea],"Costo de ventas",qPPTO[Mes],"Ene")-SUMIFS(qPPTO[Real],qPPTO[Línea],"Gastos de administración",qPPTO[Mes],"Ene")-SUMIFS(qPPTO[Real],qPPTO[Línea],"Gastos de ventas",qPPTO[Mes],"Ene")+SUMIFS(qPPTO[Real],qPPTO[Cuenta],"Depreciación y amortización",qPPTO[Mes],"Ene"))-1,"")</f>
        <v>0.8752525862068965</v>
      </c>
      <c r="I34" s="123">
        <f>IFERROR((SUMIFS(qPPTO[Presupuesto],qPPTO[Línea],"Ingresos operacionales",qPPTO[Mes],"Feb")-SUMIFS(qPPTO[Presupuesto],qPPTO[Línea],"Costo de ventas",qPPTO[Mes],"Feb")-SUMIFS(qPPTO[Presupuesto],qPPTO[Línea],"Gastos de administración",qPPTO[Mes],"Feb")-SUMIFS(qPPTO[Presupuesto],qPPTO[Línea],"Gastos de ventas",qPPTO[Mes],"Feb")+SUMIFS(qPPTO[Presupuesto],qPPTO[Cuenta],"Depreciación y amortización",qPPTO[Mes],"Feb"))/(SUMIFS(qPPTO[Real],qPPTO[Línea],"Ingresos operacionales",qPPTO[Mes],"Feb")-SUMIFS(qPPTO[Real],qPPTO[Línea],"Costo de ventas",qPPTO[Mes],"Feb")-SUMIFS(qPPTO[Real],qPPTO[Línea],"Gastos de administración",qPPTO[Mes],"Feb")-SUMIFS(qPPTO[Real],qPPTO[Línea],"Gastos de ventas",qPPTO[Mes],"Feb")+SUMIFS(qPPTO[Real],qPPTO[Cuenta],"Depreciación y amortización",qPPTO[Mes],"Feb"))-1,"")</f>
        <v>0.66209682539682535</v>
      </c>
      <c r="J34" s="123">
        <f>IFERROR((SUMIFS(qPPTO[Presupuesto],qPPTO[Línea],"Ingresos operacionales",qPPTO[Mes],"Mar")-SUMIFS(qPPTO[Presupuesto],qPPTO[Línea],"Costo de ventas",qPPTO[Mes],"Mar")-SUMIFS(qPPTO[Presupuesto],qPPTO[Línea],"Gastos de administración",qPPTO[Mes],"Mar")-SUMIFS(qPPTO[Presupuesto],qPPTO[Línea],"Gastos de ventas",qPPTO[Mes],"Mar")+SUMIFS(qPPTO[Presupuesto],qPPTO[Cuenta],"Depreciación y amortización",qPPTO[Mes],"Mar"))/(SUMIFS(qPPTO[Real],qPPTO[Línea],"Ingresos operacionales",qPPTO[Mes],"Mar")-SUMIFS(qPPTO[Real],qPPTO[Línea],"Costo de ventas",qPPTO[Mes],"Mar")-SUMIFS(qPPTO[Real],qPPTO[Línea],"Gastos de administración",qPPTO[Mes],"Mar")-SUMIFS(qPPTO[Real],qPPTO[Línea],"Gastos de ventas",qPPTO[Mes],"Mar")+SUMIFS(qPPTO[Real],qPPTO[Cuenta],"Depreciación y amortización",qPPTO[Mes],"Mar"))-1,"")</f>
        <v>0.48266300863131928</v>
      </c>
      <c r="K34" s="123">
        <f>IFERROR((SUMIFS(qPPTO[Presupuesto],qPPTO[Línea],"Ingresos operacionales",qPPTO[Mes],"Abr")-SUMIFS(qPPTO[Presupuesto],qPPTO[Línea],"Costo de ventas",qPPTO[Mes],"Abr")-SUMIFS(qPPTO[Presupuesto],qPPTO[Línea],"Gastos de administración",qPPTO[Mes],"Abr")-SUMIFS(qPPTO[Presupuesto],qPPTO[Línea],"Gastos de ventas",qPPTO[Mes],"Abr")+SUMIFS(qPPTO[Presupuesto],qPPTO[Cuenta],"Depreciación y amortización",qPPTO[Mes],"Abr"))/(SUMIFS(qPPTO[Real],qPPTO[Línea],"Ingresos operacionales",qPPTO[Mes],"Abr")-SUMIFS(qPPTO[Real],qPPTO[Línea],"Costo de ventas",qPPTO[Mes],"Abr")-SUMIFS(qPPTO[Real],qPPTO[Línea],"Gastos de administración",qPPTO[Mes],"Abr")-SUMIFS(qPPTO[Real],qPPTO[Línea],"Gastos de ventas",qPPTO[Mes],"Abr")+SUMIFS(qPPTO[Real],qPPTO[Cuenta],"Depreciación y amortización",qPPTO[Mes],"Abr"))-1,"")</f>
        <v>0.48266300863131928</v>
      </c>
      <c r="L34" s="123">
        <f>IFERROR((SUMIFS(qPPTO[Presupuesto],qPPTO[Línea],"Ingresos operacionales",qPPTO[Mes],"May")-SUMIFS(qPPTO[Presupuesto],qPPTO[Línea],"Costo de ventas",qPPTO[Mes],"May")-SUMIFS(qPPTO[Presupuesto],qPPTO[Línea],"Gastos de administración",qPPTO[Mes],"May")-SUMIFS(qPPTO[Presupuesto],qPPTO[Línea],"Gastos de ventas",qPPTO[Mes],"May")+SUMIFS(qPPTO[Presupuesto],qPPTO[Cuenta],"Depreciación y amortización",qPPTO[Mes],"May"))/(SUMIFS(qPPTO[Real],qPPTO[Línea],"Ingresos operacionales",qPPTO[Mes],"May")-SUMIFS(qPPTO[Real],qPPTO[Línea],"Costo de ventas",qPPTO[Mes],"May")-SUMIFS(qPPTO[Real],qPPTO[Línea],"Gastos de administración",qPPTO[Mes],"May")-SUMIFS(qPPTO[Real],qPPTO[Línea],"Gastos de ventas",qPPTO[Mes],"May")+SUMIFS(qPPTO[Real],qPPTO[Cuenta],"Depreciación y amortización",qPPTO[Mes],"May"))-1,"")</f>
        <v>0.43490031023784903</v>
      </c>
      <c r="M34" s="123">
        <f>IFERROR((SUMIFS(qPPTO[Presupuesto],qPPTO[Línea],"Ingresos operacionales",qPPTO[Mes],"Jun")-SUMIFS(qPPTO[Presupuesto],qPPTO[Línea],"Costo de ventas",qPPTO[Mes],"Jun")-SUMIFS(qPPTO[Presupuesto],qPPTO[Línea],"Gastos de administración",qPPTO[Mes],"Jun")-SUMIFS(qPPTO[Presupuesto],qPPTO[Línea],"Gastos de ventas",qPPTO[Mes],"Jun")+SUMIFS(qPPTO[Presupuesto],qPPTO[Cuenta],"Depreciación y amortización",qPPTO[Mes],"Jun"))/(SUMIFS(qPPTO[Real],qPPTO[Línea],"Ingresos operacionales",qPPTO[Mes],"Jun")-SUMIFS(qPPTO[Real],qPPTO[Línea],"Costo de ventas",qPPTO[Mes],"Jun")-SUMIFS(qPPTO[Real],qPPTO[Línea],"Gastos de administración",qPPTO[Mes],"Jun")-SUMIFS(qPPTO[Real],qPPTO[Línea],"Gastos de ventas",qPPTO[Mes],"Jun")+SUMIFS(qPPTO[Real],qPPTO[Cuenta],"Depreciación y amortización",qPPTO[Mes],"Jun"))-1,"")</f>
        <v>0.43490031023784903</v>
      </c>
      <c r="N34" s="123">
        <f>IFERROR((SUMIFS(qPPTO[Presupuesto],qPPTO[Línea],"Ingresos operacionales",qPPTO[Mes],"Jul")-SUMIFS(qPPTO[Presupuesto],qPPTO[Línea],"Costo de ventas",qPPTO[Mes],"Jul")-SUMIFS(qPPTO[Presupuesto],qPPTO[Línea],"Gastos de administración",qPPTO[Mes],"Jul")-SUMIFS(qPPTO[Presupuesto],qPPTO[Línea],"Gastos de ventas",qPPTO[Mes],"Jul")+SUMIFS(qPPTO[Presupuesto],qPPTO[Cuenta],"Depreciación y amortización",qPPTO[Mes],"Jul"))/(SUMIFS(qPPTO[Real],qPPTO[Línea],"Ingresos operacionales",qPPTO[Mes],"Jul")-SUMIFS(qPPTO[Real],qPPTO[Línea],"Costo de ventas",qPPTO[Mes],"Jul")-SUMIFS(qPPTO[Real],qPPTO[Línea],"Gastos de administración",qPPTO[Mes],"Jul")-SUMIFS(qPPTO[Real],qPPTO[Línea],"Gastos de ventas",qPPTO[Mes],"Jul")+SUMIFS(qPPTO[Real],qPPTO[Cuenta],"Depreciación y amortización",qPPTO[Mes],"Jul"))-1,"")</f>
        <v>0.43490031023784903</v>
      </c>
      <c r="O34" s="123">
        <f>IFERROR((SUMIFS(qPPTO[Presupuesto],qPPTO[Línea],"Ingresos operacionales",qPPTO[Mes],"Ago")-SUMIFS(qPPTO[Presupuesto],qPPTO[Línea],"Costo de ventas",qPPTO[Mes],"Ago")-SUMIFS(qPPTO[Presupuesto],qPPTO[Línea],"Gastos de administración",qPPTO[Mes],"Ago")-SUMIFS(qPPTO[Presupuesto],qPPTO[Línea],"Gastos de ventas",qPPTO[Mes],"Ago")+SUMIFS(qPPTO[Presupuesto],qPPTO[Cuenta],"Depreciación y amortización",qPPTO[Mes],"Ago"))/(SUMIFS(qPPTO[Real],qPPTO[Línea],"Ingresos operacionales",qPPTO[Mes],"Ago")-SUMIFS(qPPTO[Real],qPPTO[Línea],"Costo de ventas",qPPTO[Mes],"Ago")-SUMIFS(qPPTO[Real],qPPTO[Línea],"Gastos de administración",qPPTO[Mes],"Ago")-SUMIFS(qPPTO[Real],qPPTO[Línea],"Gastos de ventas",qPPTO[Mes],"Ago")+SUMIFS(qPPTO[Real],qPPTO[Cuenta],"Depreciación y amortización",qPPTO[Mes],"Ago"))-1,"")</f>
        <v>0.40065882352941173</v>
      </c>
      <c r="P34" s="123">
        <f>IFERROR((SUMIFS(qPPTO[Presupuesto],qPPTO[Línea],"Ingresos operacionales",qPPTO[Mes],"Sep")-SUMIFS(qPPTO[Presupuesto],qPPTO[Línea],"Costo de ventas",qPPTO[Mes],"Sep")-SUMIFS(qPPTO[Presupuesto],qPPTO[Línea],"Gastos de administración",qPPTO[Mes],"Sep")-SUMIFS(qPPTO[Presupuesto],qPPTO[Línea],"Gastos de ventas",qPPTO[Mes],"Sep")+SUMIFS(qPPTO[Presupuesto],qPPTO[Cuenta],"Depreciación y amortización",qPPTO[Mes],"Sep"))/(SUMIFS(qPPTO[Real],qPPTO[Línea],"Ingresos operacionales",qPPTO[Mes],"Sep")-SUMIFS(qPPTO[Real],qPPTO[Línea],"Costo de ventas",qPPTO[Mes],"Sep")-SUMIFS(qPPTO[Real],qPPTO[Línea],"Gastos de administración",qPPTO[Mes],"Sep")-SUMIFS(qPPTO[Real],qPPTO[Línea],"Gastos de ventas",qPPTO[Mes],"Sep")+SUMIFS(qPPTO[Real],qPPTO[Cuenta],"Depreciación y amortización",qPPTO[Mes],"Sep"))-1,"")</f>
        <v>0.43490031023784903</v>
      </c>
      <c r="Q34" s="123">
        <f>IFERROR((SUMIFS(qPPTO[Presupuesto],qPPTO[Línea],"Ingresos operacionales",qPPTO[Mes],"Oct")-SUMIFS(qPPTO[Presupuesto],qPPTO[Línea],"Costo de ventas",qPPTO[Mes],"Oct")-SUMIFS(qPPTO[Presupuesto],qPPTO[Línea],"Gastos de administración",qPPTO[Mes],"Oct")-SUMIFS(qPPTO[Presupuesto],qPPTO[Línea],"Gastos de ventas",qPPTO[Mes],"Oct")+SUMIFS(qPPTO[Presupuesto],qPPTO[Cuenta],"Depreciación y amortización",qPPTO[Mes],"Oct"))/(SUMIFS(qPPTO[Real],qPPTO[Línea],"Ingresos operacionales",qPPTO[Mes],"Oct")-SUMIFS(qPPTO[Real],qPPTO[Línea],"Costo de ventas",qPPTO[Mes],"Oct")-SUMIFS(qPPTO[Real],qPPTO[Línea],"Gastos de administración",qPPTO[Mes],"Oct")-SUMIFS(qPPTO[Real],qPPTO[Línea],"Gastos de ventas",qPPTO[Mes],"Oct")+SUMIFS(qPPTO[Real],qPPTO[Cuenta],"Depreciación y amortización",qPPTO[Mes],"Oct"))-1,"")</f>
        <v>0.40065882352941173</v>
      </c>
      <c r="R34" s="123">
        <f>IFERROR((SUMIFS(qPPTO[Presupuesto],qPPTO[Línea],"Ingresos operacionales",qPPTO[Mes],"Nov")-SUMIFS(qPPTO[Presupuesto],qPPTO[Línea],"Costo de ventas",qPPTO[Mes],"Nov")-SUMIFS(qPPTO[Presupuesto],qPPTO[Línea],"Gastos de administración",qPPTO[Mes],"Nov")-SUMIFS(qPPTO[Presupuesto],qPPTO[Línea],"Gastos de ventas",qPPTO[Mes],"Nov")+SUMIFS(qPPTO[Presupuesto],qPPTO[Cuenta],"Depreciación y amortización",qPPTO[Mes],"Nov"))/(SUMIFS(qPPTO[Real],qPPTO[Línea],"Ingresos operacionales",qPPTO[Mes],"Nov")-SUMIFS(qPPTO[Real],qPPTO[Línea],"Costo de ventas",qPPTO[Mes],"Nov")-SUMIFS(qPPTO[Real],qPPTO[Línea],"Gastos de administración",qPPTO[Mes],"Nov")-SUMIFS(qPPTO[Real],qPPTO[Línea],"Gastos de ventas",qPPTO[Mes],"Nov")+SUMIFS(qPPTO[Real],qPPTO[Cuenta],"Depreciación y amortización",qPPTO[Mes],"Nov"))-1,"")</f>
        <v>0.35482545454545455</v>
      </c>
      <c r="S34" s="123">
        <f>IFERROR((SUMIFS(qPPTO[Presupuesto],qPPTO[Línea],"Ingresos operacionales",qPPTO[Mes],"Dic")-SUMIFS(qPPTO[Presupuesto],qPPTO[Línea],"Costo de ventas",qPPTO[Mes],"Dic")-SUMIFS(qPPTO[Presupuesto],qPPTO[Línea],"Gastos de administración",qPPTO[Mes],"Dic")-SUMIFS(qPPTO[Presupuesto],qPPTO[Línea],"Gastos de ventas",qPPTO[Mes],"Dic")+SUMIFS(qPPTO[Presupuesto],qPPTO[Cuenta],"Depreciación y amortización",qPPTO[Mes],"Dic"))/(SUMIFS(qPPTO[Real],qPPTO[Línea],"Ingresos operacionales",qPPTO[Mes],"Dic")-SUMIFS(qPPTO[Real],qPPTO[Línea],"Costo de ventas",qPPTO[Mes],"Dic")-SUMIFS(qPPTO[Real],qPPTO[Línea],"Gastos de administración",qPPTO[Mes],"Dic")-SUMIFS(qPPTO[Real],qPPTO[Línea],"Gastos de ventas",qPPTO[Mes],"Dic")+SUMIFS(qPPTO[Real],qPPTO[Cuenta],"Depreciación y amortización",qPPTO[Mes],"Dic"))-1,"")</f>
        <v>0.33855599747474741</v>
      </c>
    </row>
    <row r="36" spans="2:19" x14ac:dyDescent="0.4">
      <c r="B36" s="161" t="s">
        <v>170</v>
      </c>
      <c r="C36" s="162"/>
      <c r="D36" s="162"/>
      <c r="E36" s="162"/>
      <c r="F36" s="162"/>
      <c r="G36" s="162"/>
      <c r="H36" s="162"/>
      <c r="I36" s="162"/>
      <c r="J36" s="162"/>
      <c r="K36" s="162"/>
      <c r="L36" s="162"/>
      <c r="M36" s="162"/>
      <c r="N36" s="162"/>
      <c r="O36" s="162"/>
      <c r="P36" s="162"/>
      <c r="Q36" s="162"/>
      <c r="R36" s="162"/>
      <c r="S36" s="162"/>
    </row>
    <row r="37" spans="2:19" x14ac:dyDescent="0.4">
      <c r="B37" s="162"/>
      <c r="C37" s="162"/>
      <c r="D37" s="162"/>
      <c r="E37" s="162"/>
      <c r="F37" s="162"/>
      <c r="G37" s="162"/>
      <c r="H37" s="162"/>
      <c r="I37" s="162"/>
      <c r="J37" s="162"/>
      <c r="K37" s="162"/>
      <c r="L37" s="162"/>
      <c r="M37" s="162"/>
      <c r="N37" s="162"/>
      <c r="O37" s="162"/>
      <c r="P37" s="162"/>
      <c r="Q37" s="162"/>
      <c r="R37" s="162"/>
      <c r="S37" s="162"/>
    </row>
  </sheetData>
  <mergeCells count="1">
    <mergeCell ref="B36:S37"/>
  </mergeCells>
  <conditionalFormatting sqref="E7:F7">
    <cfRule type="expression" dxfId="65" priority="13" stopIfTrue="1">
      <formula>$E7&lt;0</formula>
    </cfRule>
    <cfRule type="expression" dxfId="64" priority="14" stopIfTrue="1">
      <formula>$E7&gt;=0</formula>
    </cfRule>
  </conditionalFormatting>
  <conditionalFormatting sqref="E8:F8">
    <cfRule type="expression" dxfId="63" priority="12" stopIfTrue="1">
      <formula>$E8&gt;0</formula>
    </cfRule>
    <cfRule type="expression" dxfId="62" priority="15" stopIfTrue="1">
      <formula>$E8&lt;=0</formula>
    </cfRule>
  </conditionalFormatting>
  <conditionalFormatting sqref="E9:F9">
    <cfRule type="expression" dxfId="61" priority="11" stopIfTrue="1">
      <formula>$E9&lt;0</formula>
    </cfRule>
    <cfRule type="expression" dxfId="60" priority="16" stopIfTrue="1">
      <formula>$E9&gt;=0</formula>
    </cfRule>
  </conditionalFormatting>
  <conditionalFormatting sqref="E10:F11">
    <cfRule type="expression" dxfId="59" priority="9" stopIfTrue="1">
      <formula>$E10&gt;0</formula>
    </cfRule>
    <cfRule type="expression" dxfId="58" priority="17" stopIfTrue="1">
      <formula>$E10&lt;=0</formula>
    </cfRule>
  </conditionalFormatting>
  <conditionalFormatting sqref="E12:F13">
    <cfRule type="expression" dxfId="57" priority="7" stopIfTrue="1">
      <formula>$E12&lt;0</formula>
    </cfRule>
    <cfRule type="expression" dxfId="56" priority="19" stopIfTrue="1">
      <formula>$E12&gt;=0</formula>
    </cfRule>
  </conditionalFormatting>
  <conditionalFormatting sqref="E14:F14">
    <cfRule type="expression" dxfId="55" priority="6" stopIfTrue="1">
      <formula>$E14&gt;0</formula>
    </cfRule>
    <cfRule type="expression" dxfId="54" priority="21" stopIfTrue="1">
      <formula>$E14&lt;=0</formula>
    </cfRule>
  </conditionalFormatting>
  <conditionalFormatting sqref="E15:F15">
    <cfRule type="expression" dxfId="53" priority="5" stopIfTrue="1">
      <formula>$E15&lt;0</formula>
    </cfRule>
    <cfRule type="expression" dxfId="52" priority="22" stopIfTrue="1">
      <formula>$E15&gt;=0</formula>
    </cfRule>
  </conditionalFormatting>
  <conditionalFormatting sqref="E16:F16">
    <cfRule type="expression" dxfId="51" priority="4" stopIfTrue="1">
      <formula>$E16&gt;0</formula>
    </cfRule>
    <cfRule type="expression" dxfId="50" priority="23" stopIfTrue="1">
      <formula>$E16&lt;=0</formula>
    </cfRule>
  </conditionalFormatting>
  <conditionalFormatting sqref="E17:F17">
    <cfRule type="expression" dxfId="49" priority="3" stopIfTrue="1">
      <formula>$E17&lt;0</formula>
    </cfRule>
    <cfRule type="expression" dxfId="48" priority="24" stopIfTrue="1">
      <formula>$E17&gt;=0</formula>
    </cfRule>
  </conditionalFormatting>
  <conditionalFormatting sqref="E18:F18">
    <cfRule type="expression" dxfId="47" priority="2" stopIfTrue="1">
      <formula>$E18&gt;0</formula>
    </cfRule>
    <cfRule type="expression" dxfId="46" priority="25" stopIfTrue="1">
      <formula>$E18&lt;=0</formula>
    </cfRule>
  </conditionalFormatting>
  <conditionalFormatting sqref="E19:F19">
    <cfRule type="expression" dxfId="45" priority="1" stopIfTrue="1">
      <formula>$E19&lt;0</formula>
    </cfRule>
    <cfRule type="expression" dxfId="44" priority="26" stopIfTrue="1">
      <formula>$E19&gt;=0</formula>
    </cfRule>
  </conditionalFormatting>
  <conditionalFormatting sqref="H31:S34">
    <cfRule type="colorScale" priority="27">
      <colorScale>
        <cfvo type="num" val="0"/>
        <cfvo type="max"/>
        <color rgb="FFFCF9F2"/>
        <color rgb="FFA0D6B6"/>
      </colorScale>
    </cfRule>
  </conditionalFormatting>
  <hyperlinks>
    <hyperlink ref="B4" location="'Tablero'!A1" tooltip="Volver al tablero" display="← Volver al tablero" xr:uid="{D4593145-CD51-4A71-98C3-1DA145DB018B}"/>
  </hyperlinks>
  <pageMargins left="0.7" right="0.7" top="0.75" bottom="0.75" header="0.3" footer="0.3"/>
  <extLst>
    <ext xmlns:x14="http://schemas.microsoft.com/office/spreadsheetml/2009/9/main" uri="{05C60535-1F16-4fd2-B633-F4F36F0B64E0}">
      <x14:sparklineGroups xmlns:xm="http://schemas.microsoft.com/office/excel/2006/main">
        <x14:sparklineGroup manualMin="0" lineWeight="1.5" displayEmptyCellsAs="gap" high="1" low="1" displayHidden="1" minAxisType="custom" xr2:uid="{D5B294D2-4EF7-4014-A480-CE66D1CB0C69}">
          <x14:colorSeries rgb="FF0E4D5C"/>
          <x14:colorNegative rgb="FFD00000"/>
          <x14:colorAxis rgb="FF000000"/>
          <x14:colorMarkers rgb="FFD00000"/>
          <x14:colorFirst rgb="FFD00000"/>
          <x14:colorLast rgb="FFD00000"/>
          <x14:colorHigh rgb="FF14776B"/>
          <x14:colorLow rgb="FF9C5142"/>
          <x14:sparklines>
            <x14:sparkline>
              <xm:f>'Estado de resultados'!H34:S34</xm:f>
              <xm:sqref>F34</xm:sqref>
            </x14:sparkline>
          </x14:sparklines>
        </x14:sparklineGroup>
        <x14:sparklineGroup manualMin="0" lineWeight="1.5" displayEmptyCellsAs="gap" high="1" low="1" displayHidden="1" minAxisType="custom" xr2:uid="{5C992A0E-7FD9-44E6-8B3F-637FE8FFC2BD}">
          <x14:colorSeries rgb="FF0E4D5C"/>
          <x14:colorNegative rgb="FFD00000"/>
          <x14:colorAxis rgb="FF000000"/>
          <x14:colorMarkers rgb="FFD00000"/>
          <x14:colorFirst rgb="FFD00000"/>
          <x14:colorLast rgb="FFD00000"/>
          <x14:colorHigh rgb="FF14776B"/>
          <x14:colorLow rgb="FF9C5142"/>
          <x14:sparklines>
            <x14:sparkline>
              <xm:f>'Estado de resultados'!H33:S33</xm:f>
              <xm:sqref>F33</xm:sqref>
            </x14:sparkline>
          </x14:sparklines>
        </x14:sparklineGroup>
        <x14:sparklineGroup manualMin="0" lineWeight="1.5" displayEmptyCellsAs="gap" high="1" low="1" displayHidden="1" minAxisType="custom" xr2:uid="{ECCB73F3-29CE-45F5-9C48-FE8751EBA256}">
          <x14:colorSeries rgb="FF0E4D5C"/>
          <x14:colorNegative rgb="FFD00000"/>
          <x14:colorAxis rgb="FF000000"/>
          <x14:colorMarkers rgb="FFD00000"/>
          <x14:colorFirst rgb="FFD00000"/>
          <x14:colorLast rgb="FFD00000"/>
          <x14:colorHigh rgb="FF14776B"/>
          <x14:colorLow rgb="FF9C5142"/>
          <x14:sparklines>
            <x14:sparkline>
              <xm:f>'Estado de resultados'!H32:S32</xm:f>
              <xm:sqref>F32</xm:sqref>
            </x14:sparkline>
          </x14:sparklines>
        </x14:sparklineGroup>
        <x14:sparklineGroup manualMin="0" lineWeight="1.5" displayEmptyCellsAs="gap" high="1" low="1" displayHidden="1" minAxisType="custom" xr2:uid="{C04AE088-3750-464C-B6AE-BC99B25F1365}">
          <x14:colorSeries rgb="FF0E4D5C"/>
          <x14:colorNegative rgb="FFD00000"/>
          <x14:colorAxis rgb="FF000000"/>
          <x14:colorMarkers rgb="FFD00000"/>
          <x14:colorFirst rgb="FFD00000"/>
          <x14:colorLast rgb="FFD00000"/>
          <x14:colorHigh rgb="FF14776B"/>
          <x14:colorLow rgb="FF9C5142"/>
          <x14:sparklines>
            <x14:sparkline>
              <xm:f>'Estado de resultados'!H31:S31</xm:f>
              <xm:sqref>F31</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E77A9-9E64-456E-8CA0-8E8F3E3F94F0}">
  <sheetPr codeName="Hoja5">
    <tabColor rgb="FF0E4D5C"/>
  </sheetPr>
  <dimension ref="B2:T53"/>
  <sheetViews>
    <sheetView showGridLines="0" topLeftCell="A19" zoomScaleNormal="100" workbookViewId="0">
      <selection activeCell="E31" sqref="E31"/>
    </sheetView>
  </sheetViews>
  <sheetFormatPr baseColWidth="10" defaultRowHeight="14" x14ac:dyDescent="0.4"/>
  <cols>
    <col min="1" max="1" width="2.6328125" style="2" customWidth="1"/>
    <col min="2" max="2" width="28.6328125" style="2" customWidth="1"/>
    <col min="3" max="3" width="22.6328125" style="2" customWidth="1"/>
    <col min="4" max="4" width="11.6328125" style="2" customWidth="1"/>
    <col min="5" max="16" width="9.6328125" style="2" customWidth="1"/>
    <col min="17" max="17" width="11.54296875" style="2" customWidth="1"/>
    <col min="18" max="18" width="11.26953125" style="2" customWidth="1"/>
    <col min="19" max="16384" width="10.90625" style="2"/>
  </cols>
  <sheetData>
    <row r="2" spans="2:12" x14ac:dyDescent="0.4">
      <c r="B2" s="4" t="s">
        <v>133</v>
      </c>
    </row>
    <row r="3" spans="2:12" x14ac:dyDescent="0.4">
      <c r="B3" s="3" t="s">
        <v>134</v>
      </c>
    </row>
    <row r="4" spans="2:12" x14ac:dyDescent="0.4">
      <c r="B4" s="125" t="s">
        <v>2</v>
      </c>
    </row>
    <row r="6" spans="2:12" x14ac:dyDescent="0.4">
      <c r="B6" s="2" t="s">
        <v>135</v>
      </c>
      <c r="C6" s="86" t="s">
        <v>136</v>
      </c>
      <c r="D6" s="3" t="str">
        <f>"Acumulado enero a "&amp;LOWER(TEXT(pCorte,"mmmm"))&amp;" de 2027"</f>
        <v>Acumulado enero a agosto de 2027</v>
      </c>
      <c r="K6" s="87">
        <f>MATCH($C$6,{"Ene","Feb","Mar","Abr","May","Jun","Jul","Ago","Sep","Oct","Nov","Dic"},0)</f>
        <v>8</v>
      </c>
      <c r="L6" s="88">
        <f>DATE(2027,pMesCorte+1,0)</f>
        <v>46630</v>
      </c>
    </row>
    <row r="8" spans="2:12" x14ac:dyDescent="0.4">
      <c r="B8" s="91" t="s">
        <v>151</v>
      </c>
      <c r="C8" s="92" t="s">
        <v>149</v>
      </c>
      <c r="D8" s="92" t="s">
        <v>150</v>
      </c>
      <c r="E8" s="92" t="s">
        <v>21</v>
      </c>
      <c r="F8" s="92" t="s">
        <v>22</v>
      </c>
    </row>
    <row r="9" spans="2:12" x14ac:dyDescent="0.4">
      <c r="B9" s="7" t="s">
        <v>64</v>
      </c>
      <c r="C9" s="18">
        <f>SUMIFS(tReal27[Ppto acum.],tReal27[Línea],$B9)</f>
        <v>8649180000</v>
      </c>
      <c r="D9" s="18">
        <f>SUMIFS(tReal27[Real acum.],tReal27[Línea],$B9)</f>
        <v>8529643000</v>
      </c>
      <c r="E9" s="18">
        <f t="shared" ref="E9:E20" si="0">D9-C9</f>
        <v>-119537000</v>
      </c>
      <c r="F9" s="20">
        <f t="shared" ref="F9:F20" si="1">IFERROR(E9/ABS(C9),"")</f>
        <v>-1.3820616520872499E-2</v>
      </c>
    </row>
    <row r="10" spans="2:12" x14ac:dyDescent="0.4">
      <c r="B10" s="29" t="s">
        <v>73</v>
      </c>
      <c r="C10" s="31">
        <f>SUMIFS(tReal27[Ppto acum.],tReal27[Línea],$B10)</f>
        <v>5403961090</v>
      </c>
      <c r="D10" s="31">
        <f>SUMIFS(tReal27[Real acum.],tReal27[Línea],$B10)</f>
        <v>5311892000</v>
      </c>
      <c r="E10" s="31">
        <f t="shared" si="0"/>
        <v>-92069090</v>
      </c>
      <c r="F10" s="33">
        <f t="shared" si="1"/>
        <v>-1.7037333997532541E-2</v>
      </c>
    </row>
    <row r="11" spans="2:12" x14ac:dyDescent="0.4">
      <c r="B11" s="38" t="s">
        <v>80</v>
      </c>
      <c r="C11" s="39">
        <f>C9-C10</f>
        <v>3245218910</v>
      </c>
      <c r="D11" s="39">
        <f>D9-D10</f>
        <v>3217751000</v>
      </c>
      <c r="E11" s="39">
        <f t="shared" si="0"/>
        <v>-27467910</v>
      </c>
      <c r="F11" s="78">
        <f t="shared" si="1"/>
        <v>-8.4641162158148528E-3</v>
      </c>
    </row>
    <row r="12" spans="2:12" x14ac:dyDescent="0.4">
      <c r="B12" s="29" t="s">
        <v>86</v>
      </c>
      <c r="C12" s="31">
        <f>SUMIFS(tReal27[Ppto acum.],tReal27[Línea],$B12)</f>
        <v>860000000</v>
      </c>
      <c r="D12" s="31">
        <f>SUMIFS(tReal27[Real acum.],tReal27[Línea],$B12)</f>
        <v>868803000</v>
      </c>
      <c r="E12" s="31">
        <f t="shared" si="0"/>
        <v>8803000</v>
      </c>
      <c r="F12" s="33">
        <f t="shared" si="1"/>
        <v>1.0236046511627907E-2</v>
      </c>
    </row>
    <row r="13" spans="2:12" x14ac:dyDescent="0.4">
      <c r="B13" s="29" t="s">
        <v>100</v>
      </c>
      <c r="C13" s="31">
        <f>SUMIFS(tReal27[Ppto acum.],tReal27[Línea],$B13)</f>
        <v>1542284000</v>
      </c>
      <c r="D13" s="31">
        <f>SUMIFS(tReal27[Real acum.],tReal27[Línea],$B13)</f>
        <v>1579533000</v>
      </c>
      <c r="E13" s="31">
        <f t="shared" si="0"/>
        <v>37249000</v>
      </c>
      <c r="F13" s="33">
        <f t="shared" si="1"/>
        <v>2.4151842332540571E-2</v>
      </c>
    </row>
    <row r="14" spans="2:12" x14ac:dyDescent="0.4">
      <c r="B14" s="38" t="s">
        <v>152</v>
      </c>
      <c r="C14" s="39">
        <f>C11-C12-C13</f>
        <v>842934910</v>
      </c>
      <c r="D14" s="39">
        <f>D11-D12-D13</f>
        <v>769415000</v>
      </c>
      <c r="E14" s="39">
        <f t="shared" si="0"/>
        <v>-73519910</v>
      </c>
      <c r="F14" s="78">
        <f t="shared" si="1"/>
        <v>-8.7218964510557523E-2</v>
      </c>
    </row>
    <row r="15" spans="2:12" x14ac:dyDescent="0.4">
      <c r="B15" s="29" t="s">
        <v>115</v>
      </c>
      <c r="C15" s="31">
        <f>SUMIFS(tReal27[Ppto acum.],tReal27[Línea],$B15)</f>
        <v>189520000</v>
      </c>
      <c r="D15" s="31">
        <f>SUMIFS(tReal27[Real acum.],tReal27[Línea],$B15)</f>
        <v>181759000</v>
      </c>
      <c r="E15" s="31">
        <f t="shared" si="0"/>
        <v>-7761000</v>
      </c>
      <c r="F15" s="33">
        <f t="shared" si="1"/>
        <v>-4.0950823132123261E-2</v>
      </c>
    </row>
    <row r="16" spans="2:12" x14ac:dyDescent="0.4">
      <c r="B16" s="29" t="s">
        <v>122</v>
      </c>
      <c r="C16" s="31">
        <f>SUMIFS(tReal27[Ppto acum.],tReal27[Línea],$B16)</f>
        <v>41600000</v>
      </c>
      <c r="D16" s="31">
        <f>SUMIFS(tReal27[Real acum.],tReal27[Línea],$B16)</f>
        <v>41606000</v>
      </c>
      <c r="E16" s="31">
        <f t="shared" si="0"/>
        <v>6000</v>
      </c>
      <c r="F16" s="33">
        <f t="shared" si="1"/>
        <v>1.4423076923076924E-4</v>
      </c>
    </row>
    <row r="17" spans="2:20" x14ac:dyDescent="0.4">
      <c r="B17" s="29" t="s">
        <v>126</v>
      </c>
      <c r="C17" s="31">
        <f>SUMIFS(tReal27[Ppto acum.],tReal27[Línea],$B17)</f>
        <v>26400000</v>
      </c>
      <c r="D17" s="31">
        <f>SUMIFS(tReal27[Real acum.],tReal27[Línea],$B17)</f>
        <v>26355000</v>
      </c>
      <c r="E17" s="31">
        <f t="shared" si="0"/>
        <v>-45000</v>
      </c>
      <c r="F17" s="33">
        <f t="shared" si="1"/>
        <v>-1.7045454545454545E-3</v>
      </c>
    </row>
    <row r="18" spans="2:20" x14ac:dyDescent="0.4">
      <c r="B18" s="38" t="s">
        <v>128</v>
      </c>
      <c r="C18" s="39">
        <f>C14-C15+C16-C17</f>
        <v>668614910</v>
      </c>
      <c r="D18" s="39">
        <f>D14-D15+D16-D17</f>
        <v>602907000</v>
      </c>
      <c r="E18" s="39">
        <f t="shared" si="0"/>
        <v>-65707910</v>
      </c>
      <c r="F18" s="78">
        <f t="shared" si="1"/>
        <v>-9.8274670542420298E-2</v>
      </c>
    </row>
    <row r="19" spans="2:20" x14ac:dyDescent="0.4">
      <c r="B19" s="29" t="s">
        <v>129</v>
      </c>
      <c r="C19" s="31">
        <f>MAX(0,C18)*pTasaRenta</f>
        <v>234015218.5</v>
      </c>
      <c r="D19" s="31">
        <f>MAX(0,D18)*pTasaRenta</f>
        <v>211017450</v>
      </c>
      <c r="E19" s="31">
        <f t="shared" si="0"/>
        <v>-22997768.5</v>
      </c>
      <c r="F19" s="33">
        <f t="shared" si="1"/>
        <v>-9.8274670542420298E-2</v>
      </c>
    </row>
    <row r="20" spans="2:20" x14ac:dyDescent="0.4">
      <c r="B20" s="93" t="s">
        <v>131</v>
      </c>
      <c r="C20" s="94">
        <f>C18-C19</f>
        <v>434599691.5</v>
      </c>
      <c r="D20" s="94">
        <f>D18-D19</f>
        <v>391889550</v>
      </c>
      <c r="E20" s="94">
        <f t="shared" si="0"/>
        <v>-42710141.5</v>
      </c>
      <c r="F20" s="95">
        <f t="shared" si="1"/>
        <v>-9.8274670542420298E-2</v>
      </c>
    </row>
    <row r="21" spans="2:20" x14ac:dyDescent="0.4">
      <c r="B21" s="3" t="str">
        <f>"Cumplimiento de utilidad neta: "&amp;TEXT(IFERROR(D20/C20,0),"0%")&amp;" del presupuesto al corte"</f>
        <v>Cumplimiento de utilidad neta: 90% del presupuesto al corte</v>
      </c>
    </row>
    <row r="28" spans="2:20" x14ac:dyDescent="0.4">
      <c r="B28" s="5" t="s">
        <v>137</v>
      </c>
    </row>
    <row r="30" spans="2:20" x14ac:dyDescent="0.4">
      <c r="B30" s="2" t="s">
        <v>13</v>
      </c>
      <c r="C30" s="2" t="s">
        <v>14</v>
      </c>
      <c r="D30" s="2" t="s">
        <v>15</v>
      </c>
      <c r="E30" s="2" t="s">
        <v>138</v>
      </c>
      <c r="F30" s="2" t="s">
        <v>139</v>
      </c>
      <c r="G30" s="2" t="s">
        <v>140</v>
      </c>
      <c r="H30" s="2" t="s">
        <v>141</v>
      </c>
      <c r="I30" s="2" t="s">
        <v>142</v>
      </c>
      <c r="J30" s="2" t="s">
        <v>143</v>
      </c>
      <c r="K30" s="2" t="s">
        <v>144</v>
      </c>
      <c r="L30" s="2" t="s">
        <v>136</v>
      </c>
      <c r="M30" s="2" t="s">
        <v>145</v>
      </c>
      <c r="N30" s="2" t="s">
        <v>146</v>
      </c>
      <c r="O30" s="2" t="s">
        <v>147</v>
      </c>
      <c r="P30" s="2" t="s">
        <v>148</v>
      </c>
      <c r="Q30" s="2" t="s">
        <v>149</v>
      </c>
      <c r="R30" s="2" t="s">
        <v>150</v>
      </c>
      <c r="S30" s="2" t="s">
        <v>21</v>
      </c>
      <c r="T30" s="2" t="s">
        <v>22</v>
      </c>
    </row>
    <row r="31" spans="2:20" x14ac:dyDescent="0.4">
      <c r="B31" s="14" t="s">
        <v>63</v>
      </c>
      <c r="C31" s="14" t="s">
        <v>64</v>
      </c>
      <c r="D31" s="14" t="s">
        <v>65</v>
      </c>
      <c r="E31" s="89">
        <v>713046000</v>
      </c>
      <c r="F31" s="89">
        <v>755737000</v>
      </c>
      <c r="G31" s="89">
        <v>846885000</v>
      </c>
      <c r="H31" s="89">
        <v>836683000</v>
      </c>
      <c r="I31" s="89">
        <v>855672000</v>
      </c>
      <c r="J31" s="89">
        <v>895817000</v>
      </c>
      <c r="K31" s="89">
        <v>883130000</v>
      </c>
      <c r="L31" s="89">
        <v>931777000</v>
      </c>
      <c r="M31" s="89">
        <v>870837000</v>
      </c>
      <c r="N31" s="89">
        <v>917337000</v>
      </c>
      <c r="O31" s="89">
        <v>1009300000</v>
      </c>
      <c r="P31" s="89">
        <v>1049757000</v>
      </c>
      <c r="Q31" s="90">
        <f>SUM(INDEX('PPTO 2027'!$V$1:$AG$400,MATCH(tReal27[[#This Row],[Cuenta]],'PPTO 2027'!$B$1:$B$400,0),1):INDEX('PPTO 2027'!$V$1:$AG$400,MATCH(tReal27[[#This Row],[Cuenta]],'PPTO 2027'!$B$1:$B$400,0),pMesCorte))</f>
        <v>6767040000</v>
      </c>
      <c r="R31" s="90">
        <f>SUM(INDEX(tReal27[[#This Row],[Ene]:[Dic]],1,1):INDEX(tReal27[[#This Row],[Ene]:[Dic]],1,pMesCorte))</f>
        <v>6718747000</v>
      </c>
      <c r="S31" s="90">
        <f>tReal27[[#This Row],[Real acum.]]-tReal27[[#This Row],[Ppto acum.]]</f>
        <v>-48293000</v>
      </c>
      <c r="T31" s="74">
        <f>IFERROR(tReal27[[#This Row],[Var $]]/ABS(tReal27[[#This Row],[Ppto acum.]]),"")</f>
        <v>-7.1365028136378683E-3</v>
      </c>
    </row>
    <row r="32" spans="2:20" x14ac:dyDescent="0.4">
      <c r="B32" s="14" t="s">
        <v>68</v>
      </c>
      <c r="C32" s="14" t="s">
        <v>64</v>
      </c>
      <c r="D32" s="14" t="s">
        <v>65</v>
      </c>
      <c r="E32" s="89">
        <v>144875000</v>
      </c>
      <c r="F32" s="89">
        <v>153285000</v>
      </c>
      <c r="G32" s="89">
        <v>173145000</v>
      </c>
      <c r="H32" s="89">
        <v>177842000</v>
      </c>
      <c r="I32" s="89">
        <v>187633000</v>
      </c>
      <c r="J32" s="89">
        <v>180180000</v>
      </c>
      <c r="K32" s="89">
        <v>180550000</v>
      </c>
      <c r="L32" s="89">
        <v>192505000</v>
      </c>
      <c r="M32" s="89">
        <v>182139000</v>
      </c>
      <c r="N32" s="89">
        <v>188789000</v>
      </c>
      <c r="O32" s="89">
        <v>208436000</v>
      </c>
      <c r="P32" s="89">
        <v>220883000</v>
      </c>
      <c r="Q32" s="90">
        <f>SUM(INDEX('PPTO 2027'!$V$1:$AG$400,MATCH(tReal27[[#This Row],[Cuenta]],'PPTO 2027'!$B$1:$B$400,0),1):INDEX('PPTO 2027'!$V$1:$AG$400,MATCH(tReal27[[#This Row],[Cuenta]],'PPTO 2027'!$B$1:$B$400,0),pMesCorte))</f>
        <v>1459200000</v>
      </c>
      <c r="R32" s="90">
        <f>SUM(INDEX(tReal27[[#This Row],[Ene]:[Dic]],1,1):INDEX(tReal27[[#This Row],[Ene]:[Dic]],1,pMesCorte))</f>
        <v>1390015000</v>
      </c>
      <c r="S32" s="90">
        <f>tReal27[[#This Row],[Real acum.]]-tReal27[[#This Row],[Ppto acum.]]</f>
        <v>-69185000</v>
      </c>
      <c r="T32" s="74">
        <f>IFERROR(tReal27[[#This Row],[Var $]]/ABS(tReal27[[#This Row],[Ppto acum.]]),"")</f>
        <v>-4.7412966008771928E-2</v>
      </c>
    </row>
    <row r="33" spans="2:20" x14ac:dyDescent="0.4">
      <c r="B33" s="14" t="s">
        <v>69</v>
      </c>
      <c r="C33" s="14" t="s">
        <v>64</v>
      </c>
      <c r="D33" s="14" t="s">
        <v>65</v>
      </c>
      <c r="E33" s="89">
        <v>44137000</v>
      </c>
      <c r="F33" s="89">
        <v>47424000</v>
      </c>
      <c r="G33" s="89">
        <v>53065000</v>
      </c>
      <c r="H33" s="89">
        <v>52126000</v>
      </c>
      <c r="I33" s="89">
        <v>55589000</v>
      </c>
      <c r="J33" s="89">
        <v>54926000</v>
      </c>
      <c r="K33" s="89">
        <v>56436000</v>
      </c>
      <c r="L33" s="89">
        <v>57178000</v>
      </c>
      <c r="M33" s="89">
        <v>56871000</v>
      </c>
      <c r="N33" s="89">
        <v>57258000</v>
      </c>
      <c r="O33" s="89">
        <v>65007000</v>
      </c>
      <c r="P33" s="89">
        <v>67211000</v>
      </c>
      <c r="Q33" s="90">
        <f>SUM(INDEX('PPTO 2027'!$V$1:$AG$400,MATCH(tReal27[[#This Row],[Cuenta]],'PPTO 2027'!$B$1:$B$400,0),1):INDEX('PPTO 2027'!$V$1:$AG$400,MATCH(tReal27[[#This Row],[Cuenta]],'PPTO 2027'!$B$1:$B$400,0),pMesCorte))</f>
        <v>422940000</v>
      </c>
      <c r="R33" s="90">
        <f>SUM(INDEX(tReal27[[#This Row],[Ene]:[Dic]],1,1):INDEX(tReal27[[#This Row],[Ene]:[Dic]],1,pMesCorte))</f>
        <v>420881000</v>
      </c>
      <c r="S33" s="90">
        <f>tReal27[[#This Row],[Real acum.]]-tReal27[[#This Row],[Ppto acum.]]</f>
        <v>-2059000</v>
      </c>
      <c r="T33" s="74">
        <f>IFERROR(tReal27[[#This Row],[Var $]]/ABS(tReal27[[#This Row],[Ppto acum.]]),"")</f>
        <v>-4.8683028325530809E-3</v>
      </c>
    </row>
    <row r="34" spans="2:20" x14ac:dyDescent="0.4">
      <c r="B34" s="14" t="s">
        <v>72</v>
      </c>
      <c r="C34" s="14" t="s">
        <v>73</v>
      </c>
      <c r="D34" s="14" t="s">
        <v>74</v>
      </c>
      <c r="E34" s="89">
        <v>505292000</v>
      </c>
      <c r="F34" s="89">
        <v>542318000</v>
      </c>
      <c r="G34" s="89">
        <v>616983000</v>
      </c>
      <c r="H34" s="89">
        <v>607213000</v>
      </c>
      <c r="I34" s="89">
        <v>624229000</v>
      </c>
      <c r="J34" s="89">
        <v>632414000</v>
      </c>
      <c r="K34" s="89">
        <v>638716000</v>
      </c>
      <c r="L34" s="89">
        <v>675199000</v>
      </c>
      <c r="M34" s="89">
        <v>643661000</v>
      </c>
      <c r="N34" s="89">
        <v>657894000</v>
      </c>
      <c r="O34" s="89">
        <v>734942000</v>
      </c>
      <c r="P34" s="89">
        <v>753382000</v>
      </c>
      <c r="Q34" s="90">
        <f>SUM(INDEX('PPTO 2027'!$V$1:$AG$400,MATCH(tReal27[[#This Row],[Cuenta]],'PPTO 2027'!$B$1:$B$400,0),1):INDEX('PPTO 2027'!$V$1:$AG$400,MATCH(tReal27[[#This Row],[Cuenta]],'PPTO 2027'!$B$1:$B$400,0),pMesCorte))</f>
        <v>4957759390</v>
      </c>
      <c r="R34" s="90">
        <f>SUM(INDEX(tReal27[[#This Row],[Ene]:[Dic]],1,1):INDEX(tReal27[[#This Row],[Ene]:[Dic]],1,pMesCorte))</f>
        <v>4842364000</v>
      </c>
      <c r="S34" s="90">
        <f>tReal27[[#This Row],[Real acum.]]-tReal27[[#This Row],[Ppto acum.]]</f>
        <v>-115395390</v>
      </c>
      <c r="T34" s="74">
        <f>IFERROR(tReal27[[#This Row],[Var $]]/ABS(tReal27[[#This Row],[Ppto acum.]]),"")</f>
        <v>-2.3275714072118373E-2</v>
      </c>
    </row>
    <row r="35" spans="2:20" x14ac:dyDescent="0.4">
      <c r="B35" s="14" t="s">
        <v>77</v>
      </c>
      <c r="C35" s="14" t="s">
        <v>73</v>
      </c>
      <c r="D35" s="14" t="s">
        <v>74</v>
      </c>
      <c r="E35" s="89">
        <v>38643000</v>
      </c>
      <c r="F35" s="89">
        <v>40855000</v>
      </c>
      <c r="G35" s="89">
        <v>45998000</v>
      </c>
      <c r="H35" s="89">
        <v>45589000</v>
      </c>
      <c r="I35" s="89">
        <v>47318000</v>
      </c>
      <c r="J35" s="89">
        <v>47281000</v>
      </c>
      <c r="K35" s="89">
        <v>47999000</v>
      </c>
      <c r="L35" s="89">
        <v>50347000</v>
      </c>
      <c r="M35" s="89">
        <v>47220000</v>
      </c>
      <c r="N35" s="89">
        <v>49564000</v>
      </c>
      <c r="O35" s="89">
        <v>54976000</v>
      </c>
      <c r="P35" s="89">
        <v>57551000</v>
      </c>
      <c r="Q35" s="90">
        <f>SUM(INDEX('PPTO 2027'!$V$1:$AG$400,MATCH(tReal27[[#This Row],[Cuenta]],'PPTO 2027'!$B$1:$B$400,0),1):INDEX('PPTO 2027'!$V$1:$AG$400,MATCH(tReal27[[#This Row],[Cuenta]],'PPTO 2027'!$B$1:$B$400,0),pMesCorte))</f>
        <v>339963200</v>
      </c>
      <c r="R35" s="90">
        <f>SUM(INDEX(tReal27[[#This Row],[Ene]:[Dic]],1,1):INDEX(tReal27[[#This Row],[Ene]:[Dic]],1,pMesCorte))</f>
        <v>364030000</v>
      </c>
      <c r="S35" s="90">
        <f>tReal27[[#This Row],[Real acum.]]-tReal27[[#This Row],[Ppto acum.]]</f>
        <v>24066800</v>
      </c>
      <c r="T35" s="74">
        <f>IFERROR(tReal27[[#This Row],[Var $]]/ABS(tReal27[[#This Row],[Ppto acum.]]),"")</f>
        <v>7.0792368115137172E-2</v>
      </c>
    </row>
    <row r="36" spans="2:20" x14ac:dyDescent="0.4">
      <c r="B36" s="14" t="s">
        <v>78</v>
      </c>
      <c r="C36" s="14" t="s">
        <v>73</v>
      </c>
      <c r="D36" s="14" t="s">
        <v>74</v>
      </c>
      <c r="E36" s="89">
        <v>11415000</v>
      </c>
      <c r="F36" s="89">
        <v>11898000</v>
      </c>
      <c r="G36" s="89">
        <v>13149000</v>
      </c>
      <c r="H36" s="89">
        <v>13128000</v>
      </c>
      <c r="I36" s="89">
        <v>13589000</v>
      </c>
      <c r="J36" s="89">
        <v>13975000</v>
      </c>
      <c r="K36" s="89">
        <v>13599000</v>
      </c>
      <c r="L36" s="89">
        <v>14745000</v>
      </c>
      <c r="M36" s="89">
        <v>13881000</v>
      </c>
      <c r="N36" s="89">
        <v>14746000</v>
      </c>
      <c r="O36" s="89">
        <v>15926000</v>
      </c>
      <c r="P36" s="89">
        <v>16801000</v>
      </c>
      <c r="Q36" s="90">
        <f>SUM(INDEX('PPTO 2027'!$V$1:$AG$400,MATCH(tReal27[[#This Row],[Cuenta]],'PPTO 2027'!$B$1:$B$400,0),1):INDEX('PPTO 2027'!$V$1:$AG$400,MATCH(tReal27[[#This Row],[Cuenta]],'PPTO 2027'!$B$1:$B$400,0),pMesCorte))</f>
        <v>106238500</v>
      </c>
      <c r="R36" s="90">
        <f>SUM(INDEX(tReal27[[#This Row],[Ene]:[Dic]],1,1):INDEX(tReal27[[#This Row],[Ene]:[Dic]],1,pMesCorte))</f>
        <v>105498000</v>
      </c>
      <c r="S36" s="90">
        <f>tReal27[[#This Row],[Real acum.]]-tReal27[[#This Row],[Ppto acum.]]</f>
        <v>-740500</v>
      </c>
      <c r="T36" s="74">
        <f>IFERROR(tReal27[[#This Row],[Var $]]/ABS(tReal27[[#This Row],[Ppto acum.]]),"")</f>
        <v>-6.970166182692715E-3</v>
      </c>
    </row>
    <row r="37" spans="2:20" x14ac:dyDescent="0.4">
      <c r="B37" s="14" t="s">
        <v>99</v>
      </c>
      <c r="C37" s="14" t="s">
        <v>100</v>
      </c>
      <c r="D37" s="14" t="s">
        <v>87</v>
      </c>
      <c r="E37" s="89">
        <v>47396000</v>
      </c>
      <c r="F37" s="89">
        <v>46502000</v>
      </c>
      <c r="G37" s="89">
        <v>46270000</v>
      </c>
      <c r="H37" s="89">
        <v>47321000</v>
      </c>
      <c r="I37" s="89">
        <v>45991000</v>
      </c>
      <c r="J37" s="89">
        <v>46121000</v>
      </c>
      <c r="K37" s="89">
        <v>45673000</v>
      </c>
      <c r="L37" s="89">
        <v>47112000</v>
      </c>
      <c r="M37" s="89">
        <v>46477000</v>
      </c>
      <c r="N37" s="89">
        <v>47539000</v>
      </c>
      <c r="O37" s="89">
        <v>46051000</v>
      </c>
      <c r="P37" s="89">
        <v>47445000</v>
      </c>
      <c r="Q37" s="90">
        <f>SUM(INDEX('PPTO 2027'!$V$1:$AG$400,MATCH(tReal27[[#This Row],[Cuenta]],'PPTO 2027'!$B$1:$B$400,0),1):INDEX('PPTO 2027'!$V$1:$AG$400,MATCH(tReal27[[#This Row],[Cuenta]],'PPTO 2027'!$B$1:$B$400,0),pMesCorte))</f>
        <v>370648000</v>
      </c>
      <c r="R37" s="90">
        <f>SUM(INDEX(tReal27[[#This Row],[Ene]:[Dic]],1,1):INDEX(tReal27[[#This Row],[Ene]:[Dic]],1,pMesCorte))</f>
        <v>372386000</v>
      </c>
      <c r="S37" s="90">
        <f>tReal27[[#This Row],[Real acum.]]-tReal27[[#This Row],[Ppto acum.]]</f>
        <v>1738000</v>
      </c>
      <c r="T37" s="74">
        <f>IFERROR(tReal27[[#This Row],[Var $]]/ABS(tReal27[[#This Row],[Ppto acum.]]),"")</f>
        <v>4.6890850618376461E-3</v>
      </c>
    </row>
    <row r="38" spans="2:20" x14ac:dyDescent="0.4">
      <c r="B38" s="14" t="s">
        <v>101</v>
      </c>
      <c r="C38" s="14" t="s">
        <v>100</v>
      </c>
      <c r="D38" s="14" t="s">
        <v>87</v>
      </c>
      <c r="E38" s="89">
        <v>28100000</v>
      </c>
      <c r="F38" s="89">
        <v>29683000</v>
      </c>
      <c r="G38" s="89">
        <v>35003000</v>
      </c>
      <c r="H38" s="89">
        <v>33378000</v>
      </c>
      <c r="I38" s="89">
        <v>35263000</v>
      </c>
      <c r="J38" s="89">
        <v>34880000</v>
      </c>
      <c r="K38" s="89">
        <v>35746000</v>
      </c>
      <c r="L38" s="89">
        <v>37036000</v>
      </c>
      <c r="M38" s="89">
        <v>34932000</v>
      </c>
      <c r="N38" s="89">
        <v>36921000</v>
      </c>
      <c r="O38" s="89">
        <v>40042000</v>
      </c>
      <c r="P38" s="89">
        <v>41480000</v>
      </c>
      <c r="Q38" s="90">
        <f>SUM(INDEX('PPTO 2027'!$V$1:$AG$400,MATCH(tReal27[[#This Row],[Cuenta]],'PPTO 2027'!$B$1:$B$400,0),1):INDEX('PPTO 2027'!$V$1:$AG$400,MATCH(tReal27[[#This Row],[Cuenta]],'PPTO 2027'!$B$1:$B$400,0),pMesCorte))</f>
        <v>253764000</v>
      </c>
      <c r="R38" s="90">
        <f>SUM(INDEX(tReal27[[#This Row],[Ene]:[Dic]],1,1):INDEX(tReal27[[#This Row],[Ene]:[Dic]],1,pMesCorte))</f>
        <v>269089000</v>
      </c>
      <c r="S38" s="90">
        <f>tReal27[[#This Row],[Real acum.]]-tReal27[[#This Row],[Ppto acum.]]</f>
        <v>15325000</v>
      </c>
      <c r="T38" s="74">
        <f>IFERROR(tReal27[[#This Row],[Var $]]/ABS(tReal27[[#This Row],[Ppto acum.]]),"")</f>
        <v>6.0390756766129157E-2</v>
      </c>
    </row>
    <row r="39" spans="2:20" x14ac:dyDescent="0.4">
      <c r="B39" s="14" t="s">
        <v>102</v>
      </c>
      <c r="C39" s="14" t="s">
        <v>100</v>
      </c>
      <c r="D39" s="14" t="s">
        <v>87</v>
      </c>
      <c r="E39" s="89">
        <v>29722000</v>
      </c>
      <c r="F39" s="89">
        <v>29291000</v>
      </c>
      <c r="G39" s="89">
        <v>29305000</v>
      </c>
      <c r="H39" s="89">
        <v>29112000</v>
      </c>
      <c r="I39" s="89">
        <v>29892000</v>
      </c>
      <c r="J39" s="89">
        <v>29566000</v>
      </c>
      <c r="K39" s="89">
        <v>29512000</v>
      </c>
      <c r="L39" s="89">
        <v>29596000</v>
      </c>
      <c r="M39" s="89">
        <v>29407000</v>
      </c>
      <c r="N39" s="89">
        <v>30161000</v>
      </c>
      <c r="O39" s="89">
        <v>29506000</v>
      </c>
      <c r="P39" s="89">
        <v>29543000</v>
      </c>
      <c r="Q39" s="90">
        <f>SUM(INDEX('PPTO 2027'!$V$1:$AG$400,MATCH(tReal27[[#This Row],[Cuenta]],'PPTO 2027'!$B$1:$B$400,0),1):INDEX('PPTO 2027'!$V$1:$AG$400,MATCH(tReal27[[#This Row],[Cuenta]],'PPTO 2027'!$B$1:$B$400,0),pMesCorte))</f>
        <v>216319999.99999997</v>
      </c>
      <c r="R39" s="90">
        <f>SUM(INDEX(tReal27[[#This Row],[Ene]:[Dic]],1,1):INDEX(tReal27[[#This Row],[Ene]:[Dic]],1,pMesCorte))</f>
        <v>235996000</v>
      </c>
      <c r="S39" s="90">
        <f>tReal27[[#This Row],[Real acum.]]-tReal27[[#This Row],[Ppto acum.]]</f>
        <v>19676000.00000003</v>
      </c>
      <c r="T39" s="74">
        <f>IFERROR(tReal27[[#This Row],[Var $]]/ABS(tReal27[[#This Row],[Ppto acum.]]),"")</f>
        <v>9.0957840236686544E-2</v>
      </c>
    </row>
    <row r="40" spans="2:20" x14ac:dyDescent="0.4">
      <c r="B40" s="14" t="s">
        <v>103</v>
      </c>
      <c r="C40" s="14" t="s">
        <v>100</v>
      </c>
      <c r="D40" s="14" t="s">
        <v>87</v>
      </c>
      <c r="E40" s="89">
        <v>21133000</v>
      </c>
      <c r="F40" s="89">
        <v>22730000</v>
      </c>
      <c r="G40" s="89">
        <v>25324000</v>
      </c>
      <c r="H40" s="89">
        <v>25080000</v>
      </c>
      <c r="I40" s="89">
        <v>26498000</v>
      </c>
      <c r="J40" s="89">
        <v>26669000</v>
      </c>
      <c r="K40" s="89">
        <v>25842000</v>
      </c>
      <c r="L40" s="89">
        <v>27921000</v>
      </c>
      <c r="M40" s="89">
        <v>26759000</v>
      </c>
      <c r="N40" s="89">
        <v>28096000</v>
      </c>
      <c r="O40" s="89">
        <v>30186000</v>
      </c>
      <c r="P40" s="89">
        <v>31595000</v>
      </c>
      <c r="Q40" s="90">
        <f>SUM(INDEX('PPTO 2027'!$V$1:$AG$400,MATCH(tReal27[[#This Row],[Cuenta]],'PPTO 2027'!$B$1:$B$400,0),1):INDEX('PPTO 2027'!$V$1:$AG$400,MATCH(tReal27[[#This Row],[Cuenta]],'PPTO 2027'!$B$1:$B$400,0),pMesCorte))</f>
        <v>201400000</v>
      </c>
      <c r="R40" s="90">
        <f>SUM(INDEX(tReal27[[#This Row],[Ene]:[Dic]],1,1):INDEX(tReal27[[#This Row],[Ene]:[Dic]],1,pMesCorte))</f>
        <v>201197000</v>
      </c>
      <c r="S40" s="90">
        <f>tReal27[[#This Row],[Real acum.]]-tReal27[[#This Row],[Ppto acum.]]</f>
        <v>-203000</v>
      </c>
      <c r="T40" s="74">
        <f>IFERROR(tReal27[[#This Row],[Var $]]/ABS(tReal27[[#This Row],[Ppto acum.]]),"")</f>
        <v>-1.0079443892750744E-3</v>
      </c>
    </row>
    <row r="41" spans="2:20" x14ac:dyDescent="0.4">
      <c r="B41" s="14" t="s">
        <v>105</v>
      </c>
      <c r="C41" s="14" t="s">
        <v>100</v>
      </c>
      <c r="D41" s="14" t="s">
        <v>87</v>
      </c>
      <c r="E41" s="89">
        <v>34354000</v>
      </c>
      <c r="F41" s="89">
        <v>33469000</v>
      </c>
      <c r="G41" s="89">
        <v>34070000</v>
      </c>
      <c r="H41" s="89">
        <v>34069000</v>
      </c>
      <c r="I41" s="89">
        <v>34295000</v>
      </c>
      <c r="J41" s="89">
        <v>33829000</v>
      </c>
      <c r="K41" s="89">
        <v>34227000</v>
      </c>
      <c r="L41" s="89">
        <v>34060000</v>
      </c>
      <c r="M41" s="89">
        <v>33425000</v>
      </c>
      <c r="N41" s="89">
        <v>34349000</v>
      </c>
      <c r="O41" s="89">
        <v>33754000</v>
      </c>
      <c r="P41" s="89">
        <v>33261000</v>
      </c>
      <c r="Q41" s="90">
        <f>SUM(INDEX('PPTO 2027'!$V$1:$AG$400,MATCH(tReal27[[#This Row],[Cuenta]],'PPTO 2027'!$B$1:$B$400,0),1):INDEX('PPTO 2027'!$V$1:$AG$400,MATCH(tReal27[[#This Row],[Cuenta]],'PPTO 2027'!$B$1:$B$400,0),pMesCorte))</f>
        <v>271352000</v>
      </c>
      <c r="R41" s="90">
        <f>SUM(INDEX(tReal27[[#This Row],[Ene]:[Dic]],1,1):INDEX(tReal27[[#This Row],[Ene]:[Dic]],1,pMesCorte))</f>
        <v>272373000</v>
      </c>
      <c r="S41" s="90">
        <f>tReal27[[#This Row],[Real acum.]]-tReal27[[#This Row],[Ppto acum.]]</f>
        <v>1021000</v>
      </c>
      <c r="T41" s="74">
        <f>IFERROR(tReal27[[#This Row],[Var $]]/ABS(tReal27[[#This Row],[Ppto acum.]]),"")</f>
        <v>3.7626404080308971E-3</v>
      </c>
    </row>
    <row r="42" spans="2:20" x14ac:dyDescent="0.4">
      <c r="B42" s="14" t="s">
        <v>106</v>
      </c>
      <c r="C42" s="14" t="s">
        <v>100</v>
      </c>
      <c r="D42" s="14" t="s">
        <v>87</v>
      </c>
      <c r="E42" s="89">
        <v>20459000</v>
      </c>
      <c r="F42" s="89">
        <v>20497000</v>
      </c>
      <c r="G42" s="89">
        <v>21405000</v>
      </c>
      <c r="H42" s="89">
        <v>20692000</v>
      </c>
      <c r="I42" s="89">
        <v>20346000</v>
      </c>
      <c r="J42" s="89">
        <v>21225000</v>
      </c>
      <c r="K42" s="89">
        <v>20739000</v>
      </c>
      <c r="L42" s="89">
        <v>20612000</v>
      </c>
      <c r="M42" s="89">
        <v>20155000</v>
      </c>
      <c r="N42" s="89">
        <v>20484000</v>
      </c>
      <c r="O42" s="89">
        <v>20592000</v>
      </c>
      <c r="P42" s="89">
        <v>20796000</v>
      </c>
      <c r="Q42" s="90">
        <f>SUM(INDEX('PPTO 2027'!$V$1:$AG$400,MATCH(tReal27[[#This Row],[Cuenta]],'PPTO 2027'!$B$1:$B$400,0),1):INDEX('PPTO 2027'!$V$1:$AG$400,MATCH(tReal27[[#This Row],[Cuenta]],'PPTO 2027'!$B$1:$B$400,0),pMesCorte))</f>
        <v>166400000</v>
      </c>
      <c r="R42" s="90">
        <f>SUM(INDEX(tReal27[[#This Row],[Ene]:[Dic]],1,1):INDEX(tReal27[[#This Row],[Ene]:[Dic]],1,pMesCorte))</f>
        <v>165975000</v>
      </c>
      <c r="S42" s="90">
        <f>tReal27[[#This Row],[Real acum.]]-tReal27[[#This Row],[Ppto acum.]]</f>
        <v>-425000</v>
      </c>
      <c r="T42" s="74">
        <f>IFERROR(tReal27[[#This Row],[Var $]]/ABS(tReal27[[#This Row],[Ppto acum.]]),"")</f>
        <v>-2.5540865384615385E-3</v>
      </c>
    </row>
    <row r="43" spans="2:20" x14ac:dyDescent="0.4">
      <c r="B43" s="14" t="s">
        <v>107</v>
      </c>
      <c r="C43" s="14" t="s">
        <v>100</v>
      </c>
      <c r="D43" s="14" t="s">
        <v>87</v>
      </c>
      <c r="E43" s="89">
        <v>7805000</v>
      </c>
      <c r="F43" s="89">
        <v>7748000</v>
      </c>
      <c r="G43" s="89">
        <v>7622000</v>
      </c>
      <c r="H43" s="89">
        <v>7839000</v>
      </c>
      <c r="I43" s="89">
        <v>7869000</v>
      </c>
      <c r="J43" s="89">
        <v>7834000</v>
      </c>
      <c r="K43" s="89">
        <v>7861000</v>
      </c>
      <c r="L43" s="89">
        <v>7939000</v>
      </c>
      <c r="M43" s="89">
        <v>7829000</v>
      </c>
      <c r="N43" s="89">
        <v>7661000</v>
      </c>
      <c r="O43" s="89">
        <v>7684000</v>
      </c>
      <c r="P43" s="89">
        <v>7803000</v>
      </c>
      <c r="Q43" s="90">
        <f>SUM(INDEX('PPTO 2027'!$V$1:$AG$400,MATCH(tReal27[[#This Row],[Cuenta]],'PPTO 2027'!$B$1:$B$400,0),1):INDEX('PPTO 2027'!$V$1:$AG$400,MATCH(tReal27[[#This Row],[Cuenta]],'PPTO 2027'!$B$1:$B$400,0),pMesCorte))</f>
        <v>62400000</v>
      </c>
      <c r="R43" s="90">
        <f>SUM(INDEX(tReal27[[#This Row],[Ene]:[Dic]],1,1):INDEX(tReal27[[#This Row],[Ene]:[Dic]],1,pMesCorte))</f>
        <v>62517000</v>
      </c>
      <c r="S43" s="90">
        <f>tReal27[[#This Row],[Real acum.]]-tReal27[[#This Row],[Ppto acum.]]</f>
        <v>117000</v>
      </c>
      <c r="T43" s="74">
        <f>IFERROR(tReal27[[#This Row],[Var $]]/ABS(tReal27[[#This Row],[Ppto acum.]]),"")</f>
        <v>1.8749999999999999E-3</v>
      </c>
    </row>
    <row r="44" spans="2:20" x14ac:dyDescent="0.4">
      <c r="B44" s="14" t="s">
        <v>85</v>
      </c>
      <c r="C44" s="14" t="s">
        <v>86</v>
      </c>
      <c r="D44" s="14" t="s">
        <v>87</v>
      </c>
      <c r="E44" s="89">
        <v>54372000</v>
      </c>
      <c r="F44" s="89">
        <v>53128000</v>
      </c>
      <c r="G44" s="89">
        <v>53226000</v>
      </c>
      <c r="H44" s="89">
        <v>53441000</v>
      </c>
      <c r="I44" s="89">
        <v>54341000</v>
      </c>
      <c r="J44" s="89">
        <v>51809000</v>
      </c>
      <c r="K44" s="89">
        <v>53941000</v>
      </c>
      <c r="L44" s="89">
        <v>54309000</v>
      </c>
      <c r="M44" s="89">
        <v>53288000</v>
      </c>
      <c r="N44" s="89">
        <v>53215000</v>
      </c>
      <c r="O44" s="89">
        <v>53230000</v>
      </c>
      <c r="P44" s="89">
        <v>52501000</v>
      </c>
      <c r="Q44" s="90">
        <f>SUM(INDEX('PPTO 2027'!$V$1:$AG$400,MATCH(tReal27[[#This Row],[Cuenta]],'PPTO 2027'!$B$1:$B$400,0),1):INDEX('PPTO 2027'!$V$1:$AG$400,MATCH(tReal27[[#This Row],[Cuenta]],'PPTO 2027'!$B$1:$B$400,0),pMesCorte))</f>
        <v>428000000</v>
      </c>
      <c r="R44" s="90">
        <f>SUM(INDEX(tReal27[[#This Row],[Ene]:[Dic]],1,1):INDEX(tReal27[[#This Row],[Ene]:[Dic]],1,pMesCorte))</f>
        <v>428567000</v>
      </c>
      <c r="S44" s="90">
        <f>tReal27[[#This Row],[Real acum.]]-tReal27[[#This Row],[Ppto acum.]]</f>
        <v>567000</v>
      </c>
      <c r="T44" s="74">
        <f>IFERROR(tReal27[[#This Row],[Var $]]/ABS(tReal27[[#This Row],[Ppto acum.]]),"")</f>
        <v>1.324766355140187E-3</v>
      </c>
    </row>
    <row r="45" spans="2:20" x14ac:dyDescent="0.4">
      <c r="B45" s="14" t="s">
        <v>90</v>
      </c>
      <c r="C45" s="14" t="s">
        <v>86</v>
      </c>
      <c r="D45" s="14" t="s">
        <v>87</v>
      </c>
      <c r="E45" s="89">
        <v>15520000</v>
      </c>
      <c r="F45" s="89">
        <v>15871000</v>
      </c>
      <c r="G45" s="89">
        <v>16161000</v>
      </c>
      <c r="H45" s="89">
        <v>15854000</v>
      </c>
      <c r="I45" s="89">
        <v>15363000</v>
      </c>
      <c r="J45" s="89">
        <v>15493000</v>
      </c>
      <c r="K45" s="89">
        <v>15741000</v>
      </c>
      <c r="L45" s="89">
        <v>15615000</v>
      </c>
      <c r="M45" s="89">
        <v>15559000</v>
      </c>
      <c r="N45" s="89">
        <v>15300000</v>
      </c>
      <c r="O45" s="89">
        <v>15119000</v>
      </c>
      <c r="P45" s="89">
        <v>15765000</v>
      </c>
      <c r="Q45" s="90">
        <f>SUM(INDEX('PPTO 2027'!$V$1:$AG$400,MATCH(tReal27[[#This Row],[Cuenta]],'PPTO 2027'!$B$1:$B$400,0),1):INDEX('PPTO 2027'!$V$1:$AG$400,MATCH(tReal27[[#This Row],[Cuenta]],'PPTO 2027'!$B$1:$B$400,0),pMesCorte))</f>
        <v>124800000</v>
      </c>
      <c r="R45" s="90">
        <f>SUM(INDEX(tReal27[[#This Row],[Ene]:[Dic]],1,1):INDEX(tReal27[[#This Row],[Ene]:[Dic]],1,pMesCorte))</f>
        <v>125618000</v>
      </c>
      <c r="S45" s="90">
        <f>tReal27[[#This Row],[Real acum.]]-tReal27[[#This Row],[Ppto acum.]]</f>
        <v>818000</v>
      </c>
      <c r="T45" s="74">
        <f>IFERROR(tReal27[[#This Row],[Var $]]/ABS(tReal27[[#This Row],[Ppto acum.]]),"")</f>
        <v>6.5544871794871798E-3</v>
      </c>
    </row>
    <row r="46" spans="2:20" x14ac:dyDescent="0.4">
      <c r="B46" s="14" t="s">
        <v>92</v>
      </c>
      <c r="C46" s="14" t="s">
        <v>86</v>
      </c>
      <c r="D46" s="14" t="s">
        <v>87</v>
      </c>
      <c r="E46" s="89">
        <v>7348000</v>
      </c>
      <c r="F46" s="89">
        <v>7302000</v>
      </c>
      <c r="G46" s="89">
        <v>7231000</v>
      </c>
      <c r="H46" s="89">
        <v>7322000</v>
      </c>
      <c r="I46" s="89">
        <v>7206000</v>
      </c>
      <c r="J46" s="89">
        <v>7238000</v>
      </c>
      <c r="K46" s="89">
        <v>7276000</v>
      </c>
      <c r="L46" s="89">
        <v>7396000</v>
      </c>
      <c r="M46" s="89">
        <v>7373000</v>
      </c>
      <c r="N46" s="89">
        <v>7164000</v>
      </c>
      <c r="O46" s="89">
        <v>7263000</v>
      </c>
      <c r="P46" s="89">
        <v>7437000</v>
      </c>
      <c r="Q46" s="90">
        <f>SUM(INDEX('PPTO 2027'!$V$1:$AG$400,MATCH(tReal27[[#This Row],[Cuenta]],'PPTO 2027'!$B$1:$B$400,0),1):INDEX('PPTO 2027'!$V$1:$AG$400,MATCH(tReal27[[#This Row],[Cuenta]],'PPTO 2027'!$B$1:$B$400,0),pMesCorte))</f>
        <v>58240000</v>
      </c>
      <c r="R46" s="90">
        <f>SUM(INDEX(tReal27[[#This Row],[Ene]:[Dic]],1,1):INDEX(tReal27[[#This Row],[Ene]:[Dic]],1,pMesCorte))</f>
        <v>58319000</v>
      </c>
      <c r="S46" s="90">
        <f>tReal27[[#This Row],[Real acum.]]-tReal27[[#This Row],[Ppto acum.]]</f>
        <v>79000</v>
      </c>
      <c r="T46" s="74">
        <f>IFERROR(tReal27[[#This Row],[Var $]]/ABS(tReal27[[#This Row],[Ppto acum.]]),"")</f>
        <v>1.3564560439560439E-3</v>
      </c>
    </row>
    <row r="47" spans="2:20" x14ac:dyDescent="0.4">
      <c r="B47" s="14" t="s">
        <v>93</v>
      </c>
      <c r="C47" s="14" t="s">
        <v>86</v>
      </c>
      <c r="D47" s="14" t="s">
        <v>87</v>
      </c>
      <c r="E47" s="89">
        <v>8717000</v>
      </c>
      <c r="F47" s="89">
        <v>8803000</v>
      </c>
      <c r="G47" s="89">
        <v>8862000</v>
      </c>
      <c r="H47" s="89">
        <v>8628000</v>
      </c>
      <c r="I47" s="89">
        <v>8768000</v>
      </c>
      <c r="J47" s="89">
        <v>8712000</v>
      </c>
      <c r="K47" s="89">
        <v>8795000</v>
      </c>
      <c r="L47" s="89">
        <v>8695000</v>
      </c>
      <c r="M47" s="89">
        <v>8602000</v>
      </c>
      <c r="N47" s="89">
        <v>8573000</v>
      </c>
      <c r="O47" s="89">
        <v>8566000</v>
      </c>
      <c r="P47" s="89">
        <v>8721000</v>
      </c>
      <c r="Q47" s="90">
        <f>SUM(INDEX('PPTO 2027'!$V$1:$AG$400,MATCH(tReal27[[#This Row],[Cuenta]],'PPTO 2027'!$B$1:$B$400,0),1):INDEX('PPTO 2027'!$V$1:$AG$400,MATCH(tReal27[[#This Row],[Cuenta]],'PPTO 2027'!$B$1:$B$400,0),pMesCorte))</f>
        <v>62400000</v>
      </c>
      <c r="R47" s="90">
        <f>SUM(INDEX(tReal27[[#This Row],[Ene]:[Dic]],1,1):INDEX(tReal27[[#This Row],[Ene]:[Dic]],1,pMesCorte))</f>
        <v>69980000</v>
      </c>
      <c r="S47" s="90">
        <f>tReal27[[#This Row],[Real acum.]]-tReal27[[#This Row],[Ppto acum.]]</f>
        <v>7580000</v>
      </c>
      <c r="T47" s="74">
        <f>IFERROR(tReal27[[#This Row],[Var $]]/ABS(tReal27[[#This Row],[Ppto acum.]]),"")</f>
        <v>0.12147435897435897</v>
      </c>
    </row>
    <row r="48" spans="2:20" x14ac:dyDescent="0.4">
      <c r="B48" s="14" t="s">
        <v>94</v>
      </c>
      <c r="C48" s="14" t="s">
        <v>86</v>
      </c>
      <c r="D48" s="14" t="s">
        <v>87</v>
      </c>
      <c r="E48" s="89">
        <v>8113000</v>
      </c>
      <c r="F48" s="89">
        <v>8283000</v>
      </c>
      <c r="G48" s="89">
        <v>8318000</v>
      </c>
      <c r="H48" s="89">
        <v>8399000</v>
      </c>
      <c r="I48" s="89">
        <v>8124000</v>
      </c>
      <c r="J48" s="89">
        <v>8347000</v>
      </c>
      <c r="K48" s="89">
        <v>8376000</v>
      </c>
      <c r="L48" s="89">
        <v>8490000</v>
      </c>
      <c r="M48" s="89">
        <v>8308000</v>
      </c>
      <c r="N48" s="89">
        <v>8080000</v>
      </c>
      <c r="O48" s="89">
        <v>8347000</v>
      </c>
      <c r="P48" s="89">
        <v>8123000</v>
      </c>
      <c r="Q48" s="90">
        <f>SUM(INDEX('PPTO 2027'!$V$1:$AG$400,MATCH(tReal27[[#This Row],[Cuenta]],'PPTO 2027'!$B$1:$B$400,0),1):INDEX('PPTO 2027'!$V$1:$AG$400,MATCH(tReal27[[#This Row],[Cuenta]],'PPTO 2027'!$B$1:$B$400,0),pMesCorte))</f>
        <v>66560000</v>
      </c>
      <c r="R48" s="90">
        <f>SUM(INDEX(tReal27[[#This Row],[Ene]:[Dic]],1,1):INDEX(tReal27[[#This Row],[Ene]:[Dic]],1,pMesCorte))</f>
        <v>66450000</v>
      </c>
      <c r="S48" s="90">
        <f>tReal27[[#This Row],[Real acum.]]-tReal27[[#This Row],[Ppto acum.]]</f>
        <v>-110000</v>
      </c>
      <c r="T48" s="74">
        <f>IFERROR(tReal27[[#This Row],[Var $]]/ABS(tReal27[[#This Row],[Ppto acum.]]),"")</f>
        <v>-1.6526442307692308E-3</v>
      </c>
    </row>
    <row r="49" spans="2:20" x14ac:dyDescent="0.4">
      <c r="B49" s="14" t="s">
        <v>95</v>
      </c>
      <c r="C49" s="14" t="s">
        <v>86</v>
      </c>
      <c r="D49" s="14" t="s">
        <v>87</v>
      </c>
      <c r="E49" s="89">
        <v>14943000</v>
      </c>
      <c r="F49" s="89">
        <v>15063000</v>
      </c>
      <c r="G49" s="89">
        <v>14993000</v>
      </c>
      <c r="H49" s="89">
        <v>15249000</v>
      </c>
      <c r="I49" s="89">
        <v>14810000</v>
      </c>
      <c r="J49" s="89">
        <v>15069000</v>
      </c>
      <c r="K49" s="89">
        <v>14971000</v>
      </c>
      <c r="L49" s="89">
        <v>14771000</v>
      </c>
      <c r="M49" s="89">
        <v>14445000</v>
      </c>
      <c r="N49" s="89">
        <v>14996000</v>
      </c>
      <c r="O49" s="89">
        <v>14777000</v>
      </c>
      <c r="P49" s="89">
        <v>15063000</v>
      </c>
      <c r="Q49" s="90">
        <f>SUM(INDEX('PPTO 2027'!$V$1:$AG$400,MATCH(tReal27[[#This Row],[Cuenta]],'PPTO 2027'!$B$1:$B$400,0),1):INDEX('PPTO 2027'!$V$1:$AG$400,MATCH(tReal27[[#This Row],[Cuenta]],'PPTO 2027'!$B$1:$B$400,0),pMesCorte))</f>
        <v>120000000</v>
      </c>
      <c r="R49" s="90">
        <f>SUM(INDEX(tReal27[[#This Row],[Ene]:[Dic]],1,1):INDEX(tReal27[[#This Row],[Ene]:[Dic]],1,pMesCorte))</f>
        <v>119869000</v>
      </c>
      <c r="S49" s="90">
        <f>tReal27[[#This Row],[Real acum.]]-tReal27[[#This Row],[Ppto acum.]]</f>
        <v>-131000</v>
      </c>
      <c r="T49" s="74">
        <f>IFERROR(tReal27[[#This Row],[Var $]]/ABS(tReal27[[#This Row],[Ppto acum.]]),"")</f>
        <v>-1.0916666666666666E-3</v>
      </c>
    </row>
    <row r="50" spans="2:20" x14ac:dyDescent="0.4">
      <c r="B50" s="14" t="s">
        <v>114</v>
      </c>
      <c r="C50" s="14" t="s">
        <v>115</v>
      </c>
      <c r="D50" s="14" t="s">
        <v>87</v>
      </c>
      <c r="E50" s="89">
        <v>18320000</v>
      </c>
      <c r="F50" s="89">
        <v>18574000</v>
      </c>
      <c r="G50" s="89">
        <v>18303000</v>
      </c>
      <c r="H50" s="89">
        <v>18854000</v>
      </c>
      <c r="I50" s="89">
        <v>18517000</v>
      </c>
      <c r="J50" s="89">
        <v>18480000</v>
      </c>
      <c r="K50" s="89">
        <v>18821000</v>
      </c>
      <c r="L50" s="89">
        <v>18386000</v>
      </c>
      <c r="M50" s="89">
        <v>18149000</v>
      </c>
      <c r="N50" s="89">
        <v>18698000</v>
      </c>
      <c r="O50" s="89">
        <v>18703000</v>
      </c>
      <c r="P50" s="89">
        <v>18676000</v>
      </c>
      <c r="Q50" s="90">
        <f>SUM(INDEX('PPTO 2027'!$V$1:$AG$400,MATCH(tReal27[[#This Row],[Cuenta]],'PPTO 2027'!$B$1:$B$400,0),1):INDEX('PPTO 2027'!$V$1:$AG$400,MATCH(tReal27[[#This Row],[Cuenta]],'PPTO 2027'!$B$1:$B$400,0),pMesCorte))</f>
        <v>156240000</v>
      </c>
      <c r="R50" s="90">
        <f>SUM(INDEX(tReal27[[#This Row],[Ene]:[Dic]],1,1):INDEX(tReal27[[#This Row],[Ene]:[Dic]],1,pMesCorte))</f>
        <v>148255000</v>
      </c>
      <c r="S50" s="90">
        <f>tReal27[[#This Row],[Real acum.]]-tReal27[[#This Row],[Ppto acum.]]</f>
        <v>-7985000</v>
      </c>
      <c r="T50" s="74">
        <f>IFERROR(tReal27[[#This Row],[Var $]]/ABS(tReal27[[#This Row],[Ppto acum.]]),"")</f>
        <v>-5.1107270865335383E-2</v>
      </c>
    </row>
    <row r="51" spans="2:20" x14ac:dyDescent="0.4">
      <c r="B51" s="14" t="s">
        <v>118</v>
      </c>
      <c r="C51" s="14" t="s">
        <v>115</v>
      </c>
      <c r="D51" s="14" t="s">
        <v>87</v>
      </c>
      <c r="E51" s="89">
        <v>4168000</v>
      </c>
      <c r="F51" s="89">
        <v>4158000</v>
      </c>
      <c r="G51" s="89">
        <v>4296000</v>
      </c>
      <c r="H51" s="89">
        <v>4230000</v>
      </c>
      <c r="I51" s="89">
        <v>4131000</v>
      </c>
      <c r="J51" s="89">
        <v>4244000</v>
      </c>
      <c r="K51" s="89">
        <v>4178000</v>
      </c>
      <c r="L51" s="89">
        <v>4099000</v>
      </c>
      <c r="M51" s="89">
        <v>4202000</v>
      </c>
      <c r="N51" s="89">
        <v>4033000</v>
      </c>
      <c r="O51" s="89">
        <v>4137000</v>
      </c>
      <c r="P51" s="89">
        <v>4217000</v>
      </c>
      <c r="Q51" s="90">
        <f>SUM(INDEX('PPTO 2027'!$V$1:$AG$400,MATCH(tReal27[[#This Row],[Cuenta]],'PPTO 2027'!$B$1:$B$400,0),1):INDEX('PPTO 2027'!$V$1:$AG$400,MATCH(tReal27[[#This Row],[Cuenta]],'PPTO 2027'!$B$1:$B$400,0),pMesCorte))</f>
        <v>33280000</v>
      </c>
      <c r="R51" s="90">
        <f>SUM(INDEX(tReal27[[#This Row],[Ene]:[Dic]],1,1):INDEX(tReal27[[#This Row],[Ene]:[Dic]],1,pMesCorte))</f>
        <v>33504000</v>
      </c>
      <c r="S51" s="90">
        <f>tReal27[[#This Row],[Real acum.]]-tReal27[[#This Row],[Ppto acum.]]</f>
        <v>224000</v>
      </c>
      <c r="T51" s="74">
        <f>IFERROR(tReal27[[#This Row],[Var $]]/ABS(tReal27[[#This Row],[Ppto acum.]]),"")</f>
        <v>6.7307692307692311E-3</v>
      </c>
    </row>
    <row r="52" spans="2:20" x14ac:dyDescent="0.4">
      <c r="B52" s="14" t="s">
        <v>121</v>
      </c>
      <c r="C52" s="14" t="s">
        <v>122</v>
      </c>
      <c r="D52" s="14" t="s">
        <v>65</v>
      </c>
      <c r="E52" s="89">
        <v>5134000</v>
      </c>
      <c r="F52" s="89">
        <v>5273000</v>
      </c>
      <c r="G52" s="89">
        <v>5129000</v>
      </c>
      <c r="H52" s="89">
        <v>5232000</v>
      </c>
      <c r="I52" s="89">
        <v>5335000</v>
      </c>
      <c r="J52" s="89">
        <v>5132000</v>
      </c>
      <c r="K52" s="89">
        <v>5194000</v>
      </c>
      <c r="L52" s="89">
        <v>5177000</v>
      </c>
      <c r="M52" s="89">
        <v>5262000</v>
      </c>
      <c r="N52" s="89">
        <v>5267000</v>
      </c>
      <c r="O52" s="89">
        <v>5182000</v>
      </c>
      <c r="P52" s="89">
        <v>5171000</v>
      </c>
      <c r="Q52" s="90">
        <f>SUM(INDEX('PPTO 2027'!$V$1:$AG$400,MATCH(tReal27[[#This Row],[Cuenta]],'PPTO 2027'!$B$1:$B$400,0),1):INDEX('PPTO 2027'!$V$1:$AG$400,MATCH(tReal27[[#This Row],[Cuenta]],'PPTO 2027'!$B$1:$B$400,0),pMesCorte))</f>
        <v>41600000</v>
      </c>
      <c r="R52" s="90">
        <f>SUM(INDEX(tReal27[[#This Row],[Ene]:[Dic]],1,1):INDEX(tReal27[[#This Row],[Ene]:[Dic]],1,pMesCorte))</f>
        <v>41606000</v>
      </c>
      <c r="S52" s="90">
        <f>tReal27[[#This Row],[Real acum.]]-tReal27[[#This Row],[Ppto acum.]]</f>
        <v>6000</v>
      </c>
      <c r="T52" s="74">
        <f>IFERROR(tReal27[[#This Row],[Var $]]/ABS(tReal27[[#This Row],[Ppto acum.]]),"")</f>
        <v>1.4423076923076924E-4</v>
      </c>
    </row>
    <row r="53" spans="2:20" x14ac:dyDescent="0.4">
      <c r="B53" s="14" t="s">
        <v>125</v>
      </c>
      <c r="C53" s="14" t="s">
        <v>126</v>
      </c>
      <c r="D53" s="14" t="s">
        <v>87</v>
      </c>
      <c r="E53" s="89">
        <v>3254000</v>
      </c>
      <c r="F53" s="89">
        <v>3350000</v>
      </c>
      <c r="G53" s="89">
        <v>3371000</v>
      </c>
      <c r="H53" s="89">
        <v>3246000</v>
      </c>
      <c r="I53" s="89">
        <v>3247000</v>
      </c>
      <c r="J53" s="89">
        <v>3300000</v>
      </c>
      <c r="K53" s="89">
        <v>3308000</v>
      </c>
      <c r="L53" s="89">
        <v>3279000</v>
      </c>
      <c r="M53" s="89">
        <v>3352000</v>
      </c>
      <c r="N53" s="89">
        <v>3337000</v>
      </c>
      <c r="O53" s="89">
        <v>3317000</v>
      </c>
      <c r="P53" s="89">
        <v>3737000</v>
      </c>
      <c r="Q53" s="90">
        <f>SUM(INDEX('PPTO 2027'!$V$1:$AG$400,MATCH(tReal27[[#This Row],[Cuenta]],'PPTO 2027'!$B$1:$B$400,0),1):INDEX('PPTO 2027'!$V$1:$AG$400,MATCH(tReal27[[#This Row],[Cuenta]],'PPTO 2027'!$B$1:$B$400,0),pMesCorte))</f>
        <v>26400000</v>
      </c>
      <c r="R53" s="90">
        <f>SUM(INDEX(tReal27[[#This Row],[Ene]:[Dic]],1,1):INDEX(tReal27[[#This Row],[Ene]:[Dic]],1,pMesCorte))</f>
        <v>26355000</v>
      </c>
      <c r="S53" s="90">
        <f>tReal27[[#This Row],[Real acum.]]-tReal27[[#This Row],[Ppto acum.]]</f>
        <v>-45000</v>
      </c>
      <c r="T53" s="74">
        <f>IFERROR(tReal27[[#This Row],[Var $]]/ABS(tReal27[[#This Row],[Ppto acum.]]),"")</f>
        <v>-1.7045454545454545E-3</v>
      </c>
    </row>
  </sheetData>
  <conditionalFormatting sqref="E9:F9">
    <cfRule type="expression" dxfId="43" priority="3" stopIfTrue="1">
      <formula>$E9&lt;0</formula>
    </cfRule>
    <cfRule type="expression" dxfId="42" priority="4" stopIfTrue="1">
      <formula>$E9&gt;=0</formula>
    </cfRule>
  </conditionalFormatting>
  <conditionalFormatting sqref="E10:F10">
    <cfRule type="expression" dxfId="41" priority="5" stopIfTrue="1">
      <formula>$E10&gt;0</formula>
    </cfRule>
    <cfRule type="expression" dxfId="40" priority="6" stopIfTrue="1">
      <formula>$E10&lt;=0</formula>
    </cfRule>
  </conditionalFormatting>
  <conditionalFormatting sqref="E11:F11">
    <cfRule type="expression" dxfId="39" priority="7" stopIfTrue="1">
      <formula>$E11&lt;0</formula>
    </cfRule>
    <cfRule type="expression" dxfId="38" priority="8" stopIfTrue="1">
      <formula>$E11&gt;=0</formula>
    </cfRule>
  </conditionalFormatting>
  <conditionalFormatting sqref="E12:F13">
    <cfRule type="expression" dxfId="37" priority="9" stopIfTrue="1">
      <formula>$E12&gt;0</formula>
    </cfRule>
    <cfRule type="expression" dxfId="36" priority="10" stopIfTrue="1">
      <formula>$E12&lt;=0</formula>
    </cfRule>
  </conditionalFormatting>
  <conditionalFormatting sqref="E14:F14">
    <cfRule type="expression" dxfId="35" priority="13" stopIfTrue="1">
      <formula>$E14&lt;0</formula>
    </cfRule>
    <cfRule type="expression" dxfId="34" priority="14" stopIfTrue="1">
      <formula>$E14&gt;=0</formula>
    </cfRule>
  </conditionalFormatting>
  <conditionalFormatting sqref="E15:F15">
    <cfRule type="expression" dxfId="33" priority="15" stopIfTrue="1">
      <formula>$E15&gt;0</formula>
    </cfRule>
    <cfRule type="expression" dxfId="32" priority="16" stopIfTrue="1">
      <formula>$E15&lt;=0</formula>
    </cfRule>
  </conditionalFormatting>
  <conditionalFormatting sqref="E16:F16">
    <cfRule type="expression" dxfId="31" priority="17" stopIfTrue="1">
      <formula>$E16&lt;0</formula>
    </cfRule>
    <cfRule type="expression" dxfId="30" priority="18" stopIfTrue="1">
      <formula>$E16&gt;=0</formula>
    </cfRule>
  </conditionalFormatting>
  <conditionalFormatting sqref="E17:F17">
    <cfRule type="expression" dxfId="29" priority="19" stopIfTrue="1">
      <formula>$E17&gt;0</formula>
    </cfRule>
    <cfRule type="expression" dxfId="28" priority="20" stopIfTrue="1">
      <formula>$E17&lt;=0</formula>
    </cfRule>
  </conditionalFormatting>
  <conditionalFormatting sqref="E18:F18">
    <cfRule type="expression" dxfId="27" priority="21" stopIfTrue="1">
      <formula>$E18&lt;0</formula>
    </cfRule>
    <cfRule type="expression" dxfId="26" priority="22" stopIfTrue="1">
      <formula>$E18&gt;=0</formula>
    </cfRule>
  </conditionalFormatting>
  <conditionalFormatting sqref="E19:F19">
    <cfRule type="expression" dxfId="25" priority="23" stopIfTrue="1">
      <formula>$E19&gt;0</formula>
    </cfRule>
    <cfRule type="expression" dxfId="24" priority="24" stopIfTrue="1">
      <formula>$E19&lt;=0</formula>
    </cfRule>
  </conditionalFormatting>
  <conditionalFormatting sqref="E20:F20">
    <cfRule type="expression" dxfId="23" priority="25" stopIfTrue="1">
      <formula>$E20&lt;0</formula>
    </cfRule>
    <cfRule type="expression" dxfId="22" priority="26" stopIfTrue="1">
      <formula>$E20&gt;=0</formula>
    </cfRule>
  </conditionalFormatting>
  <conditionalFormatting sqref="T31:T53">
    <cfRule type="expression" dxfId="21" priority="1" stopIfTrue="1">
      <formula>AND(ISNUMBER(T31),OR(AND($D31="Ingreso",T31&lt;0),AND(NOT($D31="Ingreso"),T31&gt;0)))</formula>
    </cfRule>
    <cfRule type="expression" dxfId="20" priority="2" stopIfTrue="1">
      <formula>ISNUMBER(T31)</formula>
    </cfRule>
  </conditionalFormatting>
  <dataValidations count="1">
    <dataValidation type="list" allowBlank="1" showInputMessage="1" showErrorMessage="1" sqref="C6" xr:uid="{9950E817-7577-4C4C-91D2-508C859B7939}">
      <formula1>"Ene,Feb,Mar,Abr,May,Jun,Jul,Ago,Sep,Oct,Nov,Dic"</formula1>
    </dataValidation>
  </dataValidations>
  <hyperlinks>
    <hyperlink ref="B4" location="'Tablero'!A1" tooltip="Volver al tablero" display="← Volver al tablero" xr:uid="{8833DCCF-B71B-4727-A588-BB2F76CABBE9}"/>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D14F-FC51-4740-9E6C-D3BC0589D068}">
  <sheetPr codeName="Hoja6">
    <tabColor rgb="FF9C9280"/>
  </sheetPr>
  <dimension ref="A1:DI75"/>
  <sheetViews>
    <sheetView showGridLines="0" zoomScaleNormal="100" workbookViewId="0"/>
  </sheetViews>
  <sheetFormatPr baseColWidth="10" defaultRowHeight="14" x14ac:dyDescent="0.4"/>
  <cols>
    <col min="1" max="13" width="10.90625" style="1"/>
    <col min="14" max="14" width="34.54296875" style="1" customWidth="1"/>
    <col min="15" max="15" width="10.6328125" style="1" bestFit="1" customWidth="1"/>
    <col min="16" max="16" width="17.26953125" style="1" customWidth="1"/>
    <col min="17" max="17" width="16" style="1" customWidth="1"/>
    <col min="18" max="18" width="16.7265625" style="1" customWidth="1"/>
    <col min="19" max="19" width="16" style="1" customWidth="1"/>
    <col min="20" max="20" width="12.7265625" style="1" customWidth="1"/>
    <col min="21" max="21" width="0" style="1" hidden="1" customWidth="1"/>
    <col min="22" max="29" width="10.90625" style="1"/>
    <col min="30" max="33" width="35.453125" style="1" customWidth="1"/>
    <col min="34" max="75" width="10.90625" style="1"/>
    <col min="76" max="76" width="30.6328125" style="1" customWidth="1"/>
    <col min="77" max="77" width="24.6328125" style="1" customWidth="1"/>
    <col min="78" max="16384" width="10.90625" style="1"/>
  </cols>
  <sheetData>
    <row r="1" spans="1:113" x14ac:dyDescent="0.4">
      <c r="A1" s="126" t="s">
        <v>171</v>
      </c>
    </row>
    <row r="3" spans="1:113" x14ac:dyDescent="0.4">
      <c r="L3" s="1" t="s">
        <v>177</v>
      </c>
    </row>
    <row r="4" spans="1:113" x14ac:dyDescent="0.4">
      <c r="L4" s="1" t="s">
        <v>178</v>
      </c>
    </row>
    <row r="5" spans="1:113" ht="15" x14ac:dyDescent="0.4">
      <c r="A5"/>
      <c r="B5" s="127" t="s">
        <v>173</v>
      </c>
      <c r="C5"/>
      <c r="F5"/>
      <c r="G5" s="127" t="s">
        <v>173</v>
      </c>
      <c r="H5"/>
      <c r="I5"/>
      <c r="J5"/>
      <c r="L5" s="1" t="s">
        <v>179</v>
      </c>
      <c r="O5" s="127" t="s">
        <v>177</v>
      </c>
      <c r="P5"/>
      <c r="Q5"/>
      <c r="BX5" s="1" t="s">
        <v>182</v>
      </c>
      <c r="BY5" s="1" t="str">
        <f>CHOOSE(MONTH(pCorte),"ene","feb","mar","abr","may","jun","jul","ago","sep","oct","nov","dic")&amp;"/"&amp;RIGHT(YEAR(pCorte),2)</f>
        <v>ago/27</v>
      </c>
      <c r="BZ5" s="1" t="s">
        <v>241</v>
      </c>
      <c r="CA5" s="1" t="s">
        <v>242</v>
      </c>
      <c r="CB5" s="1" t="s">
        <v>243</v>
      </c>
      <c r="CC5" s="1" t="s">
        <v>244</v>
      </c>
      <c r="CD5" s="1" t="s">
        <v>245</v>
      </c>
      <c r="CE5" s="1" t="s">
        <v>246</v>
      </c>
      <c r="CF5" s="1" t="s">
        <v>247</v>
      </c>
      <c r="CG5" s="1" t="s">
        <v>254</v>
      </c>
      <c r="CH5" s="1" t="s">
        <v>153</v>
      </c>
      <c r="CI5" s="1" t="s">
        <v>164</v>
      </c>
      <c r="CJ5" s="1" t="s">
        <v>256</v>
      </c>
      <c r="CL5" s="1" t="s">
        <v>154</v>
      </c>
      <c r="CM5" s="1" t="s">
        <v>257</v>
      </c>
      <c r="CN5" s="1" t="s">
        <v>258</v>
      </c>
      <c r="CO5" s="1" t="s">
        <v>259</v>
      </c>
      <c r="CP5" s="1" t="s">
        <v>260</v>
      </c>
      <c r="CQ5" s="1" t="s">
        <v>261</v>
      </c>
      <c r="CR5" s="1" t="s">
        <v>262</v>
      </c>
      <c r="CS5" s="1" t="s">
        <v>263</v>
      </c>
      <c r="CT5" s="1" t="s">
        <v>264</v>
      </c>
      <c r="CW5" s="1" t="s">
        <v>255</v>
      </c>
      <c r="CZ5" s="1" t="s">
        <v>16</v>
      </c>
      <c r="DA5" s="1" t="s">
        <v>164</v>
      </c>
      <c r="DB5" s="1" t="s">
        <v>256</v>
      </c>
      <c r="DC5" s="1" t="s">
        <v>22</v>
      </c>
      <c r="DH5" s="1" t="s">
        <v>9</v>
      </c>
      <c r="DI5" s="1">
        <v>0.35</v>
      </c>
    </row>
    <row r="6" spans="1:113" ht="15" x14ac:dyDescent="0.4">
      <c r="A6" s="127" t="s">
        <v>14</v>
      </c>
      <c r="B6" t="s">
        <v>172</v>
      </c>
      <c r="C6" t="s">
        <v>174</v>
      </c>
      <c r="F6" s="127" t="s">
        <v>13</v>
      </c>
      <c r="G6" t="s">
        <v>172</v>
      </c>
      <c r="H6" t="s">
        <v>174</v>
      </c>
      <c r="I6" t="s">
        <v>175</v>
      </c>
      <c r="J6" t="s">
        <v>176</v>
      </c>
      <c r="L6" s="1" t="s">
        <v>180</v>
      </c>
      <c r="O6" t="s">
        <v>178</v>
      </c>
      <c r="P6"/>
      <c r="Q6"/>
      <c r="AK6" s="127" t="s">
        <v>15</v>
      </c>
      <c r="AL6" t="s">
        <v>87</v>
      </c>
      <c r="BX6" s="1" t="s">
        <v>183</v>
      </c>
      <c r="BY6" s="129">
        <f>IFERROR(SUMIFS(qPPTO[Real],qPPTO[Línea],"Ingresos operacionales"),0)</f>
        <v>12000000000</v>
      </c>
      <c r="BZ6" s="1" t="s">
        <v>248</v>
      </c>
      <c r="CA6" s="1">
        <f>ROUND(BY34/1000000,0)</f>
        <v>450</v>
      </c>
      <c r="CB6" s="1">
        <f>CA6</f>
        <v>450</v>
      </c>
      <c r="CC6" s="1">
        <v>0</v>
      </c>
      <c r="CD6" s="1">
        <v>0</v>
      </c>
      <c r="CE6" s="1">
        <v>0</v>
      </c>
      <c r="CF6" s="1">
        <f>CA6</f>
        <v>450</v>
      </c>
      <c r="CG6" s="1" t="str">
        <f>FIXED(CA6,0)</f>
        <v>450</v>
      </c>
      <c r="CH6" s="1" t="s">
        <v>138</v>
      </c>
      <c r="CI6" s="1">
        <f t="shared" ref="CI6:CI17" ca="1" si="0">ROUND(IF($BY$46="1 · Ingresos",CM6,IF($BY$46="2 · Costo de ventas",CO6,IF($BY$46="3 · Gastos operativos",CQ6,(CM6-CO6-CQ6-CS6)*(1-pTasaRenta))))/1000000,0)</f>
        <v>800</v>
      </c>
      <c r="CJ6" s="1">
        <f t="shared" ref="CJ6:CJ17" ca="1" si="1">ROUND(IF($BY$46="1 · Ingresos",CN6,IF($BY$46="2 · Costo de ventas",CP6,IF($BY$46="3 · Gastos operativos",CR6,(CN6-CP6-CR6-CT6)*(1-pTasaRenta))))/1000000,0)</f>
        <v>910</v>
      </c>
      <c r="CL6" s="1">
        <v>1</v>
      </c>
      <c r="CM6" s="1">
        <f>SUMIFS(qPPTO[Real],qPPTO[MesNum],CL6,qPPTO[Línea],"Ingresos operacionales")</f>
        <v>800000000</v>
      </c>
      <c r="CN6" s="1">
        <f>SUMIFS(qPPTO[Presupuesto],qPPTO[MesNum],CL6,qPPTO[Línea],"Ingresos operacionales")</f>
        <v>910440000</v>
      </c>
      <c r="CO6" s="1">
        <f>SUMIFS(qPPTO[Real],qPPTO[MesNum],CL6,qPPTO[Línea],"Costo de ventas")</f>
        <v>508700000</v>
      </c>
      <c r="CP6" s="1">
        <f>SUMIFS(qPPTO[Presupuesto],qPPTO[MesNum],CL6,qPPTO[Línea],"Costo de ventas")</f>
        <v>568879210</v>
      </c>
      <c r="CQ6" s="1">
        <f>SUMIFS(qPPTO[Real],qPPTO[MesNum],CL6,qPPTO[Línea],"Gastos de administración")+SUMIFS(qPPTO[Real],qPPTO[MesNum],CL6,qPPTO[Línea],"Gastos de ventas")</f>
        <v>271500000</v>
      </c>
      <c r="CR6" s="1">
        <f>SUMIFS(qPPTO[Presupuesto],qPPTO[MesNum],CL6,qPPTO[Línea],"Gastos de administración")+SUMIFS(qPPTO[Presupuesto],qPPTO[MesNum],CL6,qPPTO[Línea],"Gastos de ventas")</f>
        <v>291302000</v>
      </c>
      <c r="CS6" s="1">
        <f>SUMIFS(qPPTO[Real],qPPTO[MesNum],CL6,qPPTO[Línea],"Gastos financieros")-SUMIFS(qPPTO[Real],qPPTO[MesNum],CL6,qPPTO[Línea],"Otros ingresos no operacionales")+SUMIFS(qPPTO[Real],qPPTO[MesNum],CL6,qPPTO[Línea],"Otros gastos no operacionales")</f>
        <v>24000000</v>
      </c>
      <c r="CT6" s="1">
        <f>SUMIFS(qPPTO[Presupuesto],qPPTO[MesNum],CL6,qPPTO[Línea],"Gastos financieros")-SUMIFS(qPPTO[Presupuesto],qPPTO[MesNum],CL6,qPPTO[Línea],"Otros ingresos no operacionales")+SUMIFS(qPPTO[Presupuesto],qPPTO[MesNum],CL6,qPPTO[Línea],"Otros gastos no operacionales")</f>
        <v>21790000</v>
      </c>
      <c r="CW6" s="1">
        <v>1</v>
      </c>
      <c r="CZ6" s="1" t="str">
        <f ca="1">IF(ccN&lt;1,"",INDEX(ccLbl,1))</f>
        <v>Administración</v>
      </c>
      <c r="DA6" s="1">
        <f ca="1">IF(CZ6="","",ROUND(INDEX(ccReal,1)/1000000,0))</f>
        <v>1260</v>
      </c>
      <c r="DB6" s="1">
        <f ca="1">IF(CZ6="","",ROUND(INDEX(ccPpto,1)/1000000,0))</f>
        <v>1290</v>
      </c>
      <c r="DC6" s="130">
        <f t="shared" ref="DC6:DC11" ca="1" si="2">IF(CZ6="","",IFERROR(DB6/DA6-1,0))</f>
        <v>2.3809523809523725E-2</v>
      </c>
      <c r="DH6" s="1" t="s">
        <v>10</v>
      </c>
      <c r="DI6" s="1">
        <v>0.1</v>
      </c>
    </row>
    <row r="7" spans="1:113" ht="15" x14ac:dyDescent="0.4">
      <c r="A7" t="s">
        <v>73</v>
      </c>
      <c r="B7" s="128">
        <v>7630000000</v>
      </c>
      <c r="C7" s="128">
        <v>8532629000</v>
      </c>
      <c r="F7" t="s">
        <v>63</v>
      </c>
      <c r="G7" s="128">
        <v>9600000000</v>
      </c>
      <c r="H7" s="128">
        <v>10684800000</v>
      </c>
      <c r="I7" s="128">
        <v>1084800000</v>
      </c>
      <c r="J7" s="128">
        <v>1084800000</v>
      </c>
      <c r="L7" s="1" t="s">
        <v>181</v>
      </c>
      <c r="O7"/>
      <c r="P7"/>
      <c r="Q7"/>
      <c r="BX7" s="1" t="s">
        <v>184</v>
      </c>
      <c r="BY7" s="129">
        <f>IFERROR(SUMIFS(qPPTO[Presupuesto],qPPTO[Línea],"Ingresos operacionales"),0)</f>
        <v>13656600000</v>
      </c>
      <c r="BZ7" s="1" t="s">
        <v>249</v>
      </c>
      <c r="CA7" s="1">
        <f>ROUND((BY7-BY6)/1000000,0)</f>
        <v>1657</v>
      </c>
      <c r="CB7" s="1">
        <f t="shared" ref="CB7:CB11" si="3">CB6+CA7</f>
        <v>2107</v>
      </c>
      <c r="CC7" s="1">
        <f t="shared" ref="CC7:CC11" si="4">MIN(CB6,CB7)</f>
        <v>450</v>
      </c>
      <c r="CD7" s="1">
        <f t="shared" ref="CD7:CD11" si="5">MAX(CA7,0)</f>
        <v>1657</v>
      </c>
      <c r="CE7" s="1">
        <f t="shared" ref="CE7:CE11" si="6">MAX(-CA7,0)</f>
        <v>0</v>
      </c>
      <c r="CF7" s="1">
        <v>0</v>
      </c>
      <c r="CG7" s="1" t="str">
        <f t="shared" ref="CG7:CG11" si="7">IF(CA7&gt;=0,"+","-")&amp;FIXED(ABS(CA7),0)</f>
        <v>+1.657</v>
      </c>
      <c r="CH7" s="1" t="s">
        <v>139</v>
      </c>
      <c r="CI7" s="1">
        <f t="shared" ca="1" si="0"/>
        <v>850</v>
      </c>
      <c r="CJ7" s="1">
        <f t="shared" ca="1" si="1"/>
        <v>967</v>
      </c>
      <c r="CL7" s="1">
        <v>2</v>
      </c>
      <c r="CM7" s="1">
        <f>SUMIFS(qPPTO[Real],qPPTO[MesNum],CL7,qPPTO[Línea],"Ingresos operacionales")</f>
        <v>850000000</v>
      </c>
      <c r="CN7" s="1">
        <f>SUMIFS(qPPTO[Presupuesto],qPPTO[MesNum],CL7,qPPTO[Línea],"Ingresos operacionales")</f>
        <v>967342500</v>
      </c>
      <c r="CO7" s="1">
        <f>SUMIFS(qPPTO[Real],qPPTO[MesNum],CL7,qPPTO[Línea],"Costo de ventas")</f>
        <v>540400000</v>
      </c>
      <c r="CP7" s="1">
        <f>SUMIFS(qPPTO[Presupuesto],qPPTO[MesNum],CL7,qPPTO[Línea],"Costo de ventas")</f>
        <v>604329320</v>
      </c>
      <c r="CQ7" s="1">
        <f>SUMIFS(qPPTO[Real],qPPTO[MesNum],CL7,qPPTO[Línea],"Gastos de administración")+SUMIFS(qPPTO[Real],qPPTO[MesNum],CL7,qPPTO[Línea],"Gastos de ventas")</f>
        <v>274200000</v>
      </c>
      <c r="CR7" s="1">
        <f>SUMIFS(qPPTO[Presupuesto],qPPTO[MesNum],CL7,qPPTO[Línea],"Gastos de administración")+SUMIFS(qPPTO[Presupuesto],qPPTO[MesNum],CL7,qPPTO[Línea],"Gastos de ventas")</f>
        <v>294243500</v>
      </c>
      <c r="CS7" s="1">
        <f>SUMIFS(qPPTO[Real],qPPTO[MesNum],CL7,qPPTO[Línea],"Gastos financieros")-SUMIFS(qPPTO[Real],qPPTO[MesNum],CL7,qPPTO[Línea],"Otros ingresos no operacionales")+SUMIFS(qPPTO[Real],qPPTO[MesNum],CL7,qPPTO[Línea],"Otros gastos no operacionales")</f>
        <v>24000000</v>
      </c>
      <c r="CT7" s="1">
        <f>SUMIFS(qPPTO[Presupuesto],qPPTO[MesNum],CL7,qPPTO[Línea],"Gastos financieros")-SUMIFS(qPPTO[Presupuesto],qPPTO[MesNum],CL7,qPPTO[Línea],"Otros ingresos no operacionales")+SUMIFS(qPPTO[Presupuesto],qPPTO[MesNum],CL7,qPPTO[Línea],"Otros gastos no operacionales")</f>
        <v>21790000</v>
      </c>
      <c r="CW7" s="1">
        <v>1</v>
      </c>
      <c r="CZ7" s="1" t="str">
        <f ca="1">IF(ccN&lt;2,"",INDEX(ccLbl,2))</f>
        <v>Comercial</v>
      </c>
      <c r="DA7" s="1">
        <f ca="1">IF(CZ7="","",ROUND(INDEX(ccReal,2)/1000000,0))</f>
        <v>1120</v>
      </c>
      <c r="DB7" s="1">
        <f ca="1">IF(CZ7="","",ROUND(INDEX(ccPpto,2)/1000000,0))</f>
        <v>1282</v>
      </c>
      <c r="DC7" s="130">
        <f t="shared" ca="1" si="2"/>
        <v>0.14464285714285707</v>
      </c>
      <c r="DH7" s="1" t="s">
        <v>11</v>
      </c>
      <c r="DI7" s="1">
        <v>0.05</v>
      </c>
    </row>
    <row r="8" spans="1:113" ht="15" x14ac:dyDescent="0.4">
      <c r="A8" t="s">
        <v>86</v>
      </c>
      <c r="B8" s="128">
        <v>1260000000</v>
      </c>
      <c r="C8" s="128">
        <v>1290000000</v>
      </c>
      <c r="F8" t="s">
        <v>72</v>
      </c>
      <c r="G8" s="128">
        <v>7000000000</v>
      </c>
      <c r="H8" s="128">
        <v>7828100000</v>
      </c>
      <c r="I8" s="128">
        <v>828100000</v>
      </c>
      <c r="J8" s="128">
        <v>828100000</v>
      </c>
      <c r="O8"/>
      <c r="P8"/>
      <c r="Q8"/>
      <c r="AK8"/>
      <c r="AL8" s="127" t="s">
        <v>173</v>
      </c>
      <c r="AM8"/>
      <c r="BX8" s="1" t="s">
        <v>185</v>
      </c>
      <c r="BY8" s="129">
        <f>IFERROR(SUMIFS(qPPTO[Real],qPPTO[Línea],"Costo de ventas"),0)</f>
        <v>7630000000</v>
      </c>
      <c r="BZ8" s="1" t="s">
        <v>73</v>
      </c>
      <c r="CA8" s="1">
        <f>-ROUND((BY9-BY8)/1000000,0)</f>
        <v>-903</v>
      </c>
      <c r="CB8" s="1">
        <f t="shared" si="3"/>
        <v>1204</v>
      </c>
      <c r="CC8" s="1">
        <f t="shared" si="4"/>
        <v>1204</v>
      </c>
      <c r="CD8" s="1">
        <f t="shared" si="5"/>
        <v>0</v>
      </c>
      <c r="CE8" s="1">
        <f t="shared" si="6"/>
        <v>903</v>
      </c>
      <c r="CF8" s="1">
        <v>0</v>
      </c>
      <c r="CG8" s="1" t="str">
        <f t="shared" si="7"/>
        <v>-903</v>
      </c>
      <c r="CH8" s="1" t="s">
        <v>140</v>
      </c>
      <c r="CI8" s="1">
        <f t="shared" ca="1" si="0"/>
        <v>950</v>
      </c>
      <c r="CJ8" s="1">
        <f t="shared" ca="1" si="1"/>
        <v>1081</v>
      </c>
      <c r="CL8" s="1">
        <v>3</v>
      </c>
      <c r="CM8" s="1">
        <f>SUMIFS(qPPTO[Real],qPPTO[MesNum],CL8,qPPTO[Línea],"Ingresos operacionales")</f>
        <v>950000000</v>
      </c>
      <c r="CN8" s="1">
        <f>SUMIFS(qPPTO[Presupuesto],qPPTO[MesNum],CL8,qPPTO[Línea],"Ingresos operacionales")</f>
        <v>1081147500</v>
      </c>
      <c r="CO8" s="1">
        <f>SUMIFS(qPPTO[Real],qPPTO[MesNum],CL8,qPPTO[Línea],"Costo de ventas")</f>
        <v>604100000</v>
      </c>
      <c r="CP8" s="1">
        <f>SUMIFS(qPPTO[Presupuesto],qPPTO[MesNum],CL8,qPPTO[Línea],"Costo de ventas")</f>
        <v>675565030</v>
      </c>
      <c r="CQ8" s="1">
        <f>SUMIFS(qPPTO[Real],qPPTO[MesNum],CL8,qPPTO[Línea],"Gastos de administración")+SUMIFS(qPPTO[Real],qPPTO[MesNum],CL8,qPPTO[Línea],"Gastos de ventas")</f>
        <v>279800000</v>
      </c>
      <c r="CR8" s="1">
        <f>SUMIFS(qPPTO[Presupuesto],qPPTO[MesNum],CL8,qPPTO[Línea],"Gastos de administración")+SUMIFS(qPPTO[Presupuesto],qPPTO[MesNum],CL8,qPPTO[Línea],"Gastos de ventas")</f>
        <v>300338500</v>
      </c>
      <c r="CS8" s="1">
        <f>SUMIFS(qPPTO[Real],qPPTO[MesNum],CL8,qPPTO[Línea],"Gastos financieros")-SUMIFS(qPPTO[Real],qPPTO[MesNum],CL8,qPPTO[Línea],"Otros ingresos no operacionales")+SUMIFS(qPPTO[Real],qPPTO[MesNum],CL8,qPPTO[Línea],"Otros gastos no operacionales")</f>
        <v>24000000</v>
      </c>
      <c r="CT8" s="1">
        <f>SUMIFS(qPPTO[Presupuesto],qPPTO[MesNum],CL8,qPPTO[Línea],"Gastos financieros")-SUMIFS(qPPTO[Presupuesto],qPPTO[MesNum],CL8,qPPTO[Línea],"Otros ingresos no operacionales")+SUMIFS(qPPTO[Presupuesto],qPPTO[MesNum],CL8,qPPTO[Línea],"Otros gastos no operacionales")</f>
        <v>21790000</v>
      </c>
      <c r="CW8" s="1">
        <v>1</v>
      </c>
      <c r="CZ8" s="1" t="str">
        <f ca="1">IF(ccN&lt;3,"",INDEX(ccLbl,3))</f>
        <v>Corporativo</v>
      </c>
      <c r="DA8" s="1">
        <f ca="1">IF(CZ8="","",ROUND(INDEX(ccReal,3)/1000000,0))</f>
        <v>348</v>
      </c>
      <c r="DB8" s="1">
        <f ca="1">IF(CZ8="","",ROUND(INDEX(ccPpto,3)/1000000,0))</f>
        <v>324</v>
      </c>
      <c r="DC8" s="130">
        <f t="shared" ca="1" si="2"/>
        <v>-6.8965517241379337E-2</v>
      </c>
      <c r="DH8" s="1" t="s">
        <v>12</v>
      </c>
      <c r="DI8" s="1">
        <v>0.28000000000000003</v>
      </c>
    </row>
    <row r="9" spans="1:113" ht="15" x14ac:dyDescent="0.4">
      <c r="A9" t="s">
        <v>100</v>
      </c>
      <c r="B9" s="128">
        <v>2130000000</v>
      </c>
      <c r="C9" s="128">
        <v>2349360000</v>
      </c>
      <c r="F9" t="s">
        <v>68</v>
      </c>
      <c r="G9" s="128">
        <v>1800000000</v>
      </c>
      <c r="H9" s="128">
        <v>2304000000</v>
      </c>
      <c r="I9" s="128">
        <v>504000000</v>
      </c>
      <c r="J9" s="128">
        <v>504000000</v>
      </c>
      <c r="O9"/>
      <c r="P9"/>
      <c r="Q9"/>
      <c r="AK9" s="127" t="s">
        <v>16</v>
      </c>
      <c r="AL9" t="s">
        <v>172</v>
      </c>
      <c r="AM9" t="s">
        <v>174</v>
      </c>
      <c r="BX9" s="1" t="s">
        <v>186</v>
      </c>
      <c r="BY9" s="129">
        <f>IFERROR(SUMIFS(qPPTO[Presupuesto],qPPTO[Línea],"Costo de ventas"),0)</f>
        <v>8532629000</v>
      </c>
      <c r="BZ9" s="1" t="s">
        <v>250</v>
      </c>
      <c r="CA9" s="1">
        <f>-ROUND((BY17-BY16)/1000000,0)</f>
        <v>-249</v>
      </c>
      <c r="CB9" s="1">
        <f t="shared" si="3"/>
        <v>955</v>
      </c>
      <c r="CC9" s="1">
        <f t="shared" si="4"/>
        <v>955</v>
      </c>
      <c r="CD9" s="1">
        <f t="shared" si="5"/>
        <v>0</v>
      </c>
      <c r="CE9" s="1">
        <f t="shared" si="6"/>
        <v>249</v>
      </c>
      <c r="CF9" s="1">
        <v>0</v>
      </c>
      <c r="CG9" s="1" t="str">
        <f t="shared" si="7"/>
        <v>-249</v>
      </c>
      <c r="CH9" s="1" t="s">
        <v>141</v>
      </c>
      <c r="CI9" s="1">
        <f t="shared" ca="1" si="0"/>
        <v>950</v>
      </c>
      <c r="CJ9" s="1">
        <f t="shared" ca="1" si="1"/>
        <v>1081</v>
      </c>
      <c r="CL9" s="1">
        <v>4</v>
      </c>
      <c r="CM9" s="1">
        <f>SUMIFS(qPPTO[Real],qPPTO[MesNum],CL9,qPPTO[Línea],"Ingresos operacionales")</f>
        <v>950000000</v>
      </c>
      <c r="CN9" s="1">
        <f>SUMIFS(qPPTO[Presupuesto],qPPTO[MesNum],CL9,qPPTO[Línea],"Ingresos operacionales")</f>
        <v>1081147500</v>
      </c>
      <c r="CO9" s="1">
        <f>SUMIFS(qPPTO[Real],qPPTO[MesNum],CL9,qPPTO[Línea],"Costo de ventas")</f>
        <v>604100000</v>
      </c>
      <c r="CP9" s="1">
        <f>SUMIFS(qPPTO[Presupuesto],qPPTO[MesNum],CL9,qPPTO[Línea],"Costo de ventas")</f>
        <v>675565030</v>
      </c>
      <c r="CQ9" s="1">
        <f>SUMIFS(qPPTO[Real],qPPTO[MesNum],CL9,qPPTO[Línea],"Gastos de administración")+SUMIFS(qPPTO[Real],qPPTO[MesNum],CL9,qPPTO[Línea],"Gastos de ventas")</f>
        <v>279800000</v>
      </c>
      <c r="CR9" s="1">
        <f>SUMIFS(qPPTO[Presupuesto],qPPTO[MesNum],CL9,qPPTO[Línea],"Gastos de administración")+SUMIFS(qPPTO[Presupuesto],qPPTO[MesNum],CL9,qPPTO[Línea],"Gastos de ventas")</f>
        <v>300338500</v>
      </c>
      <c r="CS9" s="1">
        <f>SUMIFS(qPPTO[Real],qPPTO[MesNum],CL9,qPPTO[Línea],"Gastos financieros")-SUMIFS(qPPTO[Real],qPPTO[MesNum],CL9,qPPTO[Línea],"Otros ingresos no operacionales")+SUMIFS(qPPTO[Real],qPPTO[MesNum],CL9,qPPTO[Línea],"Otros gastos no operacionales")</f>
        <v>24000000</v>
      </c>
      <c r="CT9" s="1">
        <f>SUMIFS(qPPTO[Presupuesto],qPPTO[MesNum],CL9,qPPTO[Línea],"Gastos financieros")-SUMIFS(qPPTO[Presupuesto],qPPTO[MesNum],CL9,qPPTO[Línea],"Otros ingresos no operacionales")+SUMIFS(qPPTO[Presupuesto],qPPTO[MesNum],CL9,qPPTO[Línea],"Otros gastos no operacionales")</f>
        <v>21790000</v>
      </c>
      <c r="CW9" s="1">
        <v>1</v>
      </c>
      <c r="CZ9" s="1" t="str">
        <f ca="1">IF(ccN&lt;4,"",INDEX(ccLbl,4))</f>
        <v>Operaciones</v>
      </c>
      <c r="DA9" s="1">
        <f ca="1">IF(CZ9="","",ROUND(INDEX(ccReal,4)/1000000,0))</f>
        <v>1010</v>
      </c>
      <c r="DB9" s="1">
        <f ca="1">IF(CZ9="","",ROUND(INDEX(ccPpto,4)/1000000,0))</f>
        <v>1068</v>
      </c>
      <c r="DC9" s="130">
        <f t="shared" ca="1" si="2"/>
        <v>5.7425742574257477E-2</v>
      </c>
    </row>
    <row r="10" spans="1:113" ht="15" x14ac:dyDescent="0.4">
      <c r="A10" t="s">
        <v>115</v>
      </c>
      <c r="B10" s="128">
        <v>308000000</v>
      </c>
      <c r="C10" s="128">
        <v>283920000</v>
      </c>
      <c r="F10" t="s">
        <v>102</v>
      </c>
      <c r="G10" s="128">
        <v>240000000</v>
      </c>
      <c r="H10" s="128">
        <v>324479999.99999994</v>
      </c>
      <c r="I10" s="128">
        <v>84479999.999999985</v>
      </c>
      <c r="J10" s="128">
        <v>84479999.999999985</v>
      </c>
      <c r="O10"/>
      <c r="P10"/>
      <c r="Q10"/>
      <c r="AK10" t="s">
        <v>88</v>
      </c>
      <c r="AL10" s="128">
        <v>1260000000</v>
      </c>
      <c r="AM10" s="128">
        <v>1290000000</v>
      </c>
      <c r="BX10" s="1" t="s">
        <v>187</v>
      </c>
      <c r="BY10" s="129">
        <f>BY6-BY8</f>
        <v>4370000000</v>
      </c>
      <c r="BZ10" s="1" t="s">
        <v>251</v>
      </c>
      <c r="CA10" s="1">
        <f>ROUND((-(BY25-BY24)+(BY27-BY26)-(BY29-BY28))/1000000,0)</f>
        <v>26</v>
      </c>
      <c r="CB10" s="1">
        <f t="shared" si="3"/>
        <v>981</v>
      </c>
      <c r="CC10" s="1">
        <f t="shared" si="4"/>
        <v>955</v>
      </c>
      <c r="CD10" s="1">
        <f t="shared" si="5"/>
        <v>26</v>
      </c>
      <c r="CE10" s="1">
        <f t="shared" si="6"/>
        <v>0</v>
      </c>
      <c r="CF10" s="1">
        <v>0</v>
      </c>
      <c r="CG10" s="1" t="str">
        <f t="shared" si="7"/>
        <v>+26</v>
      </c>
      <c r="CH10" s="1" t="s">
        <v>142</v>
      </c>
      <c r="CI10" s="1">
        <f t="shared" ca="1" si="0"/>
        <v>1000</v>
      </c>
      <c r="CJ10" s="1">
        <f t="shared" ca="1" si="1"/>
        <v>1138</v>
      </c>
      <c r="CL10" s="1">
        <v>5</v>
      </c>
      <c r="CM10" s="1">
        <f>SUMIFS(qPPTO[Real],qPPTO[MesNum],CL10,qPPTO[Línea],"Ingresos operacionales")</f>
        <v>1000000000</v>
      </c>
      <c r="CN10" s="1">
        <f>SUMIFS(qPPTO[Presupuesto],qPPTO[MesNum],CL10,qPPTO[Línea],"Ingresos operacionales")</f>
        <v>1138050000</v>
      </c>
      <c r="CO10" s="1">
        <f>SUMIFS(qPPTO[Real],qPPTO[MesNum],CL10,qPPTO[Línea],"Costo de ventas")</f>
        <v>635800000</v>
      </c>
      <c r="CP10" s="1">
        <f>SUMIFS(qPPTO[Presupuesto],qPPTO[MesNum],CL10,qPPTO[Línea],"Costo de ventas")</f>
        <v>711015140</v>
      </c>
      <c r="CQ10" s="1">
        <f>SUMIFS(qPPTO[Real],qPPTO[MesNum],CL10,qPPTO[Línea],"Gastos de administración")+SUMIFS(qPPTO[Real],qPPTO[MesNum],CL10,qPPTO[Línea],"Gastos de ventas")</f>
        <v>282500000</v>
      </c>
      <c r="CR10" s="1">
        <f>SUMIFS(qPPTO[Presupuesto],qPPTO[MesNum],CL10,qPPTO[Línea],"Gastos de administración")+SUMIFS(qPPTO[Presupuesto],qPPTO[MesNum],CL10,qPPTO[Línea],"Gastos de ventas")</f>
        <v>303280000</v>
      </c>
      <c r="CS10" s="1">
        <f>SUMIFS(qPPTO[Real],qPPTO[MesNum],CL10,qPPTO[Línea],"Gastos financieros")-SUMIFS(qPPTO[Real],qPPTO[MesNum],CL10,qPPTO[Línea],"Otros ingresos no operacionales")+SUMIFS(qPPTO[Real],qPPTO[MesNum],CL10,qPPTO[Línea],"Otros gastos no operacionales")</f>
        <v>24000000</v>
      </c>
      <c r="CT10" s="1">
        <f>SUMIFS(qPPTO[Presupuesto],qPPTO[MesNum],CL10,qPPTO[Línea],"Gastos financieros")-SUMIFS(qPPTO[Presupuesto],qPPTO[MesNum],CL10,qPPTO[Línea],"Otros ingresos no operacionales")+SUMIFS(qPPTO[Presupuesto],qPPTO[MesNum],CL10,qPPTO[Línea],"Otros gastos no operacionales")</f>
        <v>21790000</v>
      </c>
      <c r="CW10" s="1">
        <v>1</v>
      </c>
      <c r="CZ10" s="1" t="str">
        <f>IF(ccN&lt;5,"",INDEX(ccLbl,5))</f>
        <v/>
      </c>
      <c r="DA10" s="1" t="str">
        <f>IF(CZ10="","",ROUND(INDEX(ccReal,5)/1000000,0))</f>
        <v/>
      </c>
      <c r="DB10" s="1" t="str">
        <f>IF(CZ10="","",ROUND(INDEX(ccPpto,5)/1000000,0))</f>
        <v/>
      </c>
      <c r="DC10" s="130" t="str">
        <f t="shared" si="2"/>
        <v/>
      </c>
    </row>
    <row r="11" spans="1:113" ht="15" x14ac:dyDescent="0.4">
      <c r="A11" t="s">
        <v>64</v>
      </c>
      <c r="B11" s="128">
        <v>12000000000</v>
      </c>
      <c r="C11" s="128">
        <v>13656600000</v>
      </c>
      <c r="F11" t="s">
        <v>69</v>
      </c>
      <c r="G11" s="128">
        <v>600000000</v>
      </c>
      <c r="H11" s="128">
        <v>667800000</v>
      </c>
      <c r="I11" s="128">
        <v>67800000</v>
      </c>
      <c r="J11" s="128">
        <v>67800000</v>
      </c>
      <c r="O11"/>
      <c r="P11"/>
      <c r="Q11"/>
      <c r="AK11" t="s">
        <v>66</v>
      </c>
      <c r="AL11" s="128">
        <v>1120000000</v>
      </c>
      <c r="AM11" s="128">
        <v>1281560000</v>
      </c>
      <c r="BX11" s="1" t="s">
        <v>188</v>
      </c>
      <c r="BY11" s="129">
        <f>BY7-BY9</f>
        <v>5123971000</v>
      </c>
      <c r="BZ11" s="1" t="s">
        <v>252</v>
      </c>
      <c r="CA11" s="1">
        <f>CA12-SUM(CA6:CA10)</f>
        <v>-186</v>
      </c>
      <c r="CB11" s="1">
        <f t="shared" si="3"/>
        <v>795</v>
      </c>
      <c r="CC11" s="1">
        <f t="shared" si="4"/>
        <v>795</v>
      </c>
      <c r="CD11" s="1">
        <f t="shared" si="5"/>
        <v>0</v>
      </c>
      <c r="CE11" s="1">
        <f t="shared" si="6"/>
        <v>186</v>
      </c>
      <c r="CF11" s="1">
        <v>0</v>
      </c>
      <c r="CG11" s="1" t="str">
        <f t="shared" si="7"/>
        <v>-186</v>
      </c>
      <c r="CH11" s="1" t="s">
        <v>143</v>
      </c>
      <c r="CI11" s="1">
        <f t="shared" ca="1" si="0"/>
        <v>1000</v>
      </c>
      <c r="CJ11" s="1">
        <f t="shared" ca="1" si="1"/>
        <v>1138</v>
      </c>
      <c r="CL11" s="1">
        <v>6</v>
      </c>
      <c r="CM11" s="1">
        <f>SUMIFS(qPPTO[Real],qPPTO[MesNum],CL11,qPPTO[Línea],"Ingresos operacionales")</f>
        <v>1000000000</v>
      </c>
      <c r="CN11" s="1">
        <f>SUMIFS(qPPTO[Presupuesto],qPPTO[MesNum],CL11,qPPTO[Línea],"Ingresos operacionales")</f>
        <v>1138050000</v>
      </c>
      <c r="CO11" s="1">
        <f>SUMIFS(qPPTO[Real],qPPTO[MesNum],CL11,qPPTO[Línea],"Costo de ventas")</f>
        <v>635800000</v>
      </c>
      <c r="CP11" s="1">
        <f>SUMIFS(qPPTO[Presupuesto],qPPTO[MesNum],CL11,qPPTO[Línea],"Costo de ventas")</f>
        <v>711015140</v>
      </c>
      <c r="CQ11" s="1">
        <f>SUMIFS(qPPTO[Real],qPPTO[MesNum],CL11,qPPTO[Línea],"Gastos de administración")+SUMIFS(qPPTO[Real],qPPTO[MesNum],CL11,qPPTO[Línea],"Gastos de ventas")</f>
        <v>282500000</v>
      </c>
      <c r="CR11" s="1">
        <f>SUMIFS(qPPTO[Presupuesto],qPPTO[MesNum],CL11,qPPTO[Línea],"Gastos de administración")+SUMIFS(qPPTO[Presupuesto],qPPTO[MesNum],CL11,qPPTO[Línea],"Gastos de ventas")</f>
        <v>303280000</v>
      </c>
      <c r="CS11" s="1">
        <f>SUMIFS(qPPTO[Real],qPPTO[MesNum],CL11,qPPTO[Línea],"Gastos financieros")-SUMIFS(qPPTO[Real],qPPTO[MesNum],CL11,qPPTO[Línea],"Otros ingresos no operacionales")+SUMIFS(qPPTO[Real],qPPTO[MesNum],CL11,qPPTO[Línea],"Otros gastos no operacionales")</f>
        <v>24000000</v>
      </c>
      <c r="CT11" s="1">
        <f>SUMIFS(qPPTO[Presupuesto],qPPTO[MesNum],CL11,qPPTO[Línea],"Gastos financieros")-SUMIFS(qPPTO[Presupuesto],qPPTO[MesNum],CL11,qPPTO[Línea],"Otros ingresos no operacionales")+SUMIFS(qPPTO[Presupuesto],qPPTO[MesNum],CL11,qPPTO[Línea],"Otros gastos no operacionales")</f>
        <v>21790000</v>
      </c>
      <c r="CW11" s="1">
        <v>1</v>
      </c>
      <c r="CZ11" s="1" t="str">
        <f>IF(ccN&lt;6,"",INDEX(ccLbl,6))</f>
        <v/>
      </c>
      <c r="DA11" s="1" t="str">
        <f>IF(CZ11="","",ROUND(INDEX(ccReal,6)/1000000,0))</f>
        <v/>
      </c>
      <c r="DB11" s="1" t="str">
        <f>IF(CZ11="","",ROUND(INDEX(ccPpto,6)/1000000,0))</f>
        <v/>
      </c>
      <c r="DC11" s="130" t="str">
        <f t="shared" si="2"/>
        <v/>
      </c>
    </row>
    <row r="12" spans="1:113" ht="15" x14ac:dyDescent="0.4">
      <c r="A12" t="s">
        <v>126</v>
      </c>
      <c r="B12" s="128">
        <v>40000000</v>
      </c>
      <c r="C12" s="128">
        <v>40000000</v>
      </c>
      <c r="F12" t="s">
        <v>77</v>
      </c>
      <c r="G12" s="128">
        <v>480000000</v>
      </c>
      <c r="H12" s="128">
        <v>536784000</v>
      </c>
      <c r="I12" s="128">
        <v>56784000</v>
      </c>
      <c r="J12" s="128">
        <v>56784000</v>
      </c>
      <c r="O12"/>
      <c r="P12"/>
      <c r="Q12"/>
      <c r="AK12" t="s">
        <v>116</v>
      </c>
      <c r="AL12" s="128">
        <v>348000000</v>
      </c>
      <c r="AM12" s="128">
        <v>323920000</v>
      </c>
      <c r="BX12" s="1" t="s">
        <v>189</v>
      </c>
      <c r="BY12" s="129">
        <f>IFERROR(SUMIFS(qPPTO[Real],qPPTO[Línea],"Gastos de administración"),0)</f>
        <v>1260000000</v>
      </c>
      <c r="BZ12" s="1" t="s">
        <v>253</v>
      </c>
      <c r="CA12" s="1">
        <f>ROUND(BY35/1000000,0)</f>
        <v>795</v>
      </c>
      <c r="CB12" s="1">
        <f>CA12</f>
        <v>795</v>
      </c>
      <c r="CC12" s="1">
        <v>0</v>
      </c>
      <c r="CD12" s="1">
        <v>0</v>
      </c>
      <c r="CE12" s="1">
        <v>0</v>
      </c>
      <c r="CF12" s="1">
        <f>CA12</f>
        <v>795</v>
      </c>
      <c r="CG12" s="1" t="str">
        <f>FIXED(CA12,0)</f>
        <v>795</v>
      </c>
      <c r="CH12" s="1" t="s">
        <v>144</v>
      </c>
      <c r="CI12" s="1">
        <f t="shared" ca="1" si="0"/>
        <v>1000</v>
      </c>
      <c r="CJ12" s="1">
        <f t="shared" ca="1" si="1"/>
        <v>1138</v>
      </c>
      <c r="CL12" s="1">
        <v>7</v>
      </c>
      <c r="CM12" s="1">
        <f>SUMIFS(qPPTO[Real],qPPTO[MesNum],CL12,qPPTO[Línea],"Ingresos operacionales")</f>
        <v>1000000000</v>
      </c>
      <c r="CN12" s="1">
        <f>SUMIFS(qPPTO[Presupuesto],qPPTO[MesNum],CL12,qPPTO[Línea],"Ingresos operacionales")</f>
        <v>1138050000</v>
      </c>
      <c r="CO12" s="1">
        <f>SUMIFS(qPPTO[Real],qPPTO[MesNum],CL12,qPPTO[Línea],"Costo de ventas")</f>
        <v>635800000</v>
      </c>
      <c r="CP12" s="1">
        <f>SUMIFS(qPPTO[Presupuesto],qPPTO[MesNum],CL12,qPPTO[Línea],"Costo de ventas")</f>
        <v>711015140</v>
      </c>
      <c r="CQ12" s="1">
        <f>SUMIFS(qPPTO[Real],qPPTO[MesNum],CL12,qPPTO[Línea],"Gastos de administración")+SUMIFS(qPPTO[Real],qPPTO[MesNum],CL12,qPPTO[Línea],"Gastos de ventas")</f>
        <v>282500000</v>
      </c>
      <c r="CR12" s="1">
        <f>SUMIFS(qPPTO[Presupuesto],qPPTO[MesNum],CL12,qPPTO[Línea],"Gastos de administración")+SUMIFS(qPPTO[Presupuesto],qPPTO[MesNum],CL12,qPPTO[Línea],"Gastos de ventas")</f>
        <v>303280000</v>
      </c>
      <c r="CS12" s="1">
        <f>SUMIFS(qPPTO[Real],qPPTO[MesNum],CL12,qPPTO[Línea],"Gastos financieros")-SUMIFS(qPPTO[Real],qPPTO[MesNum],CL12,qPPTO[Línea],"Otros ingresos no operacionales")+SUMIFS(qPPTO[Real],qPPTO[MesNum],CL12,qPPTO[Línea],"Otros gastos no operacionales")</f>
        <v>24000000</v>
      </c>
      <c r="CT12" s="1">
        <f>SUMIFS(qPPTO[Presupuesto],qPPTO[MesNum],CL12,qPPTO[Línea],"Gastos financieros")-SUMIFS(qPPTO[Presupuesto],qPPTO[MesNum],CL12,qPPTO[Línea],"Otros ingresos no operacionales")+SUMIFS(qPPTO[Presupuesto],qPPTO[MesNum],CL12,qPPTO[Línea],"Otros gastos no operacionales")</f>
        <v>21790000</v>
      </c>
      <c r="CW12" s="1">
        <v>1</v>
      </c>
    </row>
    <row r="13" spans="1:113" ht="15" x14ac:dyDescent="0.4">
      <c r="A13" t="s">
        <v>122</v>
      </c>
      <c r="B13" s="128">
        <v>60000000</v>
      </c>
      <c r="C13" s="128">
        <v>62400000</v>
      </c>
      <c r="F13" t="s">
        <v>85</v>
      </c>
      <c r="G13" s="128">
        <v>600000000</v>
      </c>
      <c r="H13" s="128">
        <v>642000000</v>
      </c>
      <c r="I13" s="128">
        <v>42000000</v>
      </c>
      <c r="J13" s="128">
        <v>42000000</v>
      </c>
      <c r="O13"/>
      <c r="P13"/>
      <c r="Q13"/>
      <c r="AK13" t="s">
        <v>75</v>
      </c>
      <c r="AL13" s="128">
        <v>1010000000</v>
      </c>
      <c r="AM13" s="128">
        <v>1067800000</v>
      </c>
      <c r="BX13" s="1" t="s">
        <v>190</v>
      </c>
      <c r="BY13" s="129">
        <f>IFERROR(SUMIFS(qPPTO[Presupuesto],qPPTO[Línea],"Gastos de administración"),0)</f>
        <v>1290000000</v>
      </c>
      <c r="CH13" s="1" t="s">
        <v>136</v>
      </c>
      <c r="CI13" s="1">
        <f t="shared" ca="1" si="0"/>
        <v>1050</v>
      </c>
      <c r="CJ13" s="1">
        <f t="shared" ca="1" si="1"/>
        <v>1195</v>
      </c>
      <c r="CL13" s="1">
        <v>8</v>
      </c>
      <c r="CM13" s="1">
        <f>SUMIFS(qPPTO[Real],qPPTO[MesNum],CL13,qPPTO[Línea],"Ingresos operacionales")</f>
        <v>1050000000</v>
      </c>
      <c r="CN13" s="1">
        <f>SUMIFS(qPPTO[Presupuesto],qPPTO[MesNum],CL13,qPPTO[Línea],"Ingresos operacionales")</f>
        <v>1194952500</v>
      </c>
      <c r="CO13" s="1">
        <f>SUMIFS(qPPTO[Real],qPPTO[MesNum],CL13,qPPTO[Línea],"Costo de ventas")</f>
        <v>667600000</v>
      </c>
      <c r="CP13" s="1">
        <f>SUMIFS(qPPTO[Presupuesto],qPPTO[MesNum],CL13,qPPTO[Línea],"Costo de ventas")</f>
        <v>746577080</v>
      </c>
      <c r="CQ13" s="1">
        <f>SUMIFS(qPPTO[Real],qPPTO[MesNum],CL13,qPPTO[Línea],"Gastos de administración")+SUMIFS(qPPTO[Real],qPPTO[MesNum],CL13,qPPTO[Línea],"Gastos de ventas")</f>
        <v>285200000</v>
      </c>
      <c r="CR13" s="1">
        <f>SUMIFS(qPPTO[Presupuesto],qPPTO[MesNum],CL13,qPPTO[Línea],"Gastos de administración")+SUMIFS(qPPTO[Presupuesto],qPPTO[MesNum],CL13,qPPTO[Línea],"Gastos de ventas")</f>
        <v>306221500</v>
      </c>
      <c r="CS13" s="1">
        <f>SUMIFS(qPPTO[Real],qPPTO[MesNum],CL13,qPPTO[Línea],"Gastos financieros")-SUMIFS(qPPTO[Real],qPPTO[MesNum],CL13,qPPTO[Línea],"Otros ingresos no operacionales")+SUMIFS(qPPTO[Real],qPPTO[MesNum],CL13,qPPTO[Línea],"Otros gastos no operacionales")</f>
        <v>24000000</v>
      </c>
      <c r="CT13" s="1">
        <f>SUMIFS(qPPTO[Presupuesto],qPPTO[MesNum],CL13,qPPTO[Línea],"Gastos financieros")-SUMIFS(qPPTO[Presupuesto],qPPTO[MesNum],CL13,qPPTO[Línea],"Otros ingresos no operacionales")+SUMIFS(qPPTO[Presupuesto],qPPTO[MesNum],CL13,qPPTO[Línea],"Otros gastos no operacionales")</f>
        <v>21790000</v>
      </c>
    </row>
    <row r="14" spans="1:113" ht="15" x14ac:dyDescent="0.4">
      <c r="A14"/>
      <c r="B14"/>
      <c r="C14"/>
      <c r="F14" t="s">
        <v>101</v>
      </c>
      <c r="G14" s="128">
        <v>360000000</v>
      </c>
      <c r="H14" s="128">
        <v>400680000</v>
      </c>
      <c r="I14" s="128">
        <v>40680000</v>
      </c>
      <c r="J14" s="128">
        <v>40680000</v>
      </c>
      <c r="O14"/>
      <c r="P14"/>
      <c r="Q14"/>
      <c r="AK14"/>
      <c r="AL14"/>
      <c r="AM14"/>
      <c r="BX14" s="1" t="s">
        <v>191</v>
      </c>
      <c r="BY14" s="129">
        <f>IFERROR(SUMIFS(qPPTO[Real],qPPTO[Línea],"Gastos de ventas"),0)</f>
        <v>2130000000</v>
      </c>
      <c r="CH14" s="1" t="s">
        <v>145</v>
      </c>
      <c r="CI14" s="1">
        <f t="shared" ca="1" si="0"/>
        <v>1000</v>
      </c>
      <c r="CJ14" s="1">
        <f t="shared" ca="1" si="1"/>
        <v>1138</v>
      </c>
      <c r="CL14" s="1">
        <v>9</v>
      </c>
      <c r="CM14" s="1">
        <f>SUMIFS(qPPTO[Real],qPPTO[MesNum],CL14,qPPTO[Línea],"Ingresos operacionales")</f>
        <v>1000000000</v>
      </c>
      <c r="CN14" s="1">
        <f>SUMIFS(qPPTO[Presupuesto],qPPTO[MesNum],CL14,qPPTO[Línea],"Ingresos operacionales")</f>
        <v>1138050000</v>
      </c>
      <c r="CO14" s="1">
        <f>SUMIFS(qPPTO[Real],qPPTO[MesNum],CL14,qPPTO[Línea],"Costo de ventas")</f>
        <v>635800000</v>
      </c>
      <c r="CP14" s="1">
        <f>SUMIFS(qPPTO[Presupuesto],qPPTO[MesNum],CL14,qPPTO[Línea],"Costo de ventas")</f>
        <v>711015140</v>
      </c>
      <c r="CQ14" s="1">
        <f>SUMIFS(qPPTO[Real],qPPTO[MesNum],CL14,qPPTO[Línea],"Gastos de administración")+SUMIFS(qPPTO[Real],qPPTO[MesNum],CL14,qPPTO[Línea],"Gastos de ventas")</f>
        <v>282500000</v>
      </c>
      <c r="CR14" s="1">
        <f>SUMIFS(qPPTO[Presupuesto],qPPTO[MesNum],CL14,qPPTO[Línea],"Gastos de administración")+SUMIFS(qPPTO[Presupuesto],qPPTO[MesNum],CL14,qPPTO[Línea],"Gastos de ventas")</f>
        <v>303280000</v>
      </c>
      <c r="CS14" s="1">
        <f>SUMIFS(qPPTO[Real],qPPTO[MesNum],CL14,qPPTO[Línea],"Gastos financieros")-SUMIFS(qPPTO[Real],qPPTO[MesNum],CL14,qPPTO[Línea],"Otros ingresos no operacionales")+SUMIFS(qPPTO[Real],qPPTO[MesNum],CL14,qPPTO[Línea],"Otros gastos no operacionales")</f>
        <v>24000000</v>
      </c>
      <c r="CT14" s="1">
        <f>SUMIFS(qPPTO[Presupuesto],qPPTO[MesNum],CL14,qPPTO[Línea],"Gastos financieros")-SUMIFS(qPPTO[Presupuesto],qPPTO[MesNum],CL14,qPPTO[Línea],"Otros ingresos no operacionales")+SUMIFS(qPPTO[Presupuesto],qPPTO[MesNum],CL14,qPPTO[Línea],"Otros gastos no operacionales")</f>
        <v>21790000</v>
      </c>
    </row>
    <row r="15" spans="1:113" ht="15" x14ac:dyDescent="0.4">
      <c r="A15"/>
      <c r="B15"/>
      <c r="C15"/>
      <c r="F15" t="s">
        <v>99</v>
      </c>
      <c r="G15" s="128">
        <v>520000000</v>
      </c>
      <c r="H15" s="128">
        <v>556400000</v>
      </c>
      <c r="I15" s="128">
        <v>36400000</v>
      </c>
      <c r="J15" s="128">
        <v>36400000</v>
      </c>
      <c r="O15"/>
      <c r="P15"/>
      <c r="Q15"/>
      <c r="AK15"/>
      <c r="AL15"/>
      <c r="AM15"/>
      <c r="BX15" s="1" t="s">
        <v>192</v>
      </c>
      <c r="BY15" s="129">
        <f>IFERROR(SUMIFS(qPPTO[Presupuesto],qPPTO[Línea],"Gastos de ventas"),0)</f>
        <v>2349360000</v>
      </c>
      <c r="CH15" s="1" t="s">
        <v>146</v>
      </c>
      <c r="CI15" s="1">
        <f t="shared" ca="1" si="0"/>
        <v>1050</v>
      </c>
      <c r="CJ15" s="1">
        <f t="shared" ca="1" si="1"/>
        <v>1195</v>
      </c>
      <c r="CL15" s="1">
        <v>10</v>
      </c>
      <c r="CM15" s="1">
        <f>SUMIFS(qPPTO[Real],qPPTO[MesNum],CL15,qPPTO[Línea],"Ingresos operacionales")</f>
        <v>1050000000</v>
      </c>
      <c r="CN15" s="1">
        <f>SUMIFS(qPPTO[Presupuesto],qPPTO[MesNum],CL15,qPPTO[Línea],"Ingresos operacionales")</f>
        <v>1194952500</v>
      </c>
      <c r="CO15" s="1">
        <f>SUMIFS(qPPTO[Real],qPPTO[MesNum],CL15,qPPTO[Línea],"Costo de ventas")</f>
        <v>667600000</v>
      </c>
      <c r="CP15" s="1">
        <f>SUMIFS(qPPTO[Presupuesto],qPPTO[MesNum],CL15,qPPTO[Línea],"Costo de ventas")</f>
        <v>746577080</v>
      </c>
      <c r="CQ15" s="1">
        <f>SUMIFS(qPPTO[Real],qPPTO[MesNum],CL15,qPPTO[Línea],"Gastos de administración")+SUMIFS(qPPTO[Real],qPPTO[MesNum],CL15,qPPTO[Línea],"Gastos de ventas")</f>
        <v>285200000</v>
      </c>
      <c r="CR15" s="1">
        <f>SUMIFS(qPPTO[Presupuesto],qPPTO[MesNum],CL15,qPPTO[Línea],"Gastos de administración")+SUMIFS(qPPTO[Presupuesto],qPPTO[MesNum],CL15,qPPTO[Línea],"Gastos de ventas")</f>
        <v>306221500</v>
      </c>
      <c r="CS15" s="1">
        <f>SUMIFS(qPPTO[Real],qPPTO[MesNum],CL15,qPPTO[Línea],"Gastos financieros")-SUMIFS(qPPTO[Real],qPPTO[MesNum],CL15,qPPTO[Línea],"Otros ingresos no operacionales")+SUMIFS(qPPTO[Real],qPPTO[MesNum],CL15,qPPTO[Línea],"Otros gastos no operacionales")</f>
        <v>24000000</v>
      </c>
      <c r="CT15" s="1">
        <f>SUMIFS(qPPTO[Presupuesto],qPPTO[MesNum],CL15,qPPTO[Línea],"Gastos financieros")-SUMIFS(qPPTO[Presupuesto],qPPTO[MesNum],CL15,qPPTO[Línea],"Otros ingresos no operacionales")+SUMIFS(qPPTO[Presupuesto],qPPTO[MesNum],CL15,qPPTO[Línea],"Otros gastos no operacionales")</f>
        <v>21790000</v>
      </c>
    </row>
    <row r="16" spans="1:113" ht="15" x14ac:dyDescent="0.4">
      <c r="A16"/>
      <c r="B16"/>
      <c r="C16"/>
      <c r="F16" t="s">
        <v>105</v>
      </c>
      <c r="G16" s="128">
        <v>380000000</v>
      </c>
      <c r="H16" s="128">
        <v>406600000</v>
      </c>
      <c r="I16" s="128">
        <v>26600000.000000004</v>
      </c>
      <c r="J16" s="128">
        <v>26600000.000000004</v>
      </c>
      <c r="O16"/>
      <c r="P16"/>
      <c r="Q16"/>
      <c r="AK16"/>
      <c r="AL16"/>
      <c r="AM16"/>
      <c r="BX16" s="1" t="s">
        <v>193</v>
      </c>
      <c r="BY16" s="129">
        <f>BY12+BY14</f>
        <v>3390000000</v>
      </c>
      <c r="CH16" s="1" t="s">
        <v>147</v>
      </c>
      <c r="CI16" s="1">
        <f t="shared" ca="1" si="0"/>
        <v>1150</v>
      </c>
      <c r="CJ16" s="1">
        <f t="shared" ca="1" si="1"/>
        <v>1309</v>
      </c>
      <c r="CL16" s="1">
        <v>11</v>
      </c>
      <c r="CM16" s="1">
        <f>SUMIFS(qPPTO[Real],qPPTO[MesNum],CL16,qPPTO[Línea],"Ingresos operacionales")</f>
        <v>1150000000</v>
      </c>
      <c r="CN16" s="1">
        <f>SUMIFS(qPPTO[Presupuesto],qPPTO[MesNum],CL16,qPPTO[Línea],"Ingresos operacionales")</f>
        <v>1308757500</v>
      </c>
      <c r="CO16" s="1">
        <f>SUMIFS(qPPTO[Real],qPPTO[MesNum],CL16,qPPTO[Línea],"Costo de ventas")</f>
        <v>731200000</v>
      </c>
      <c r="CP16" s="1">
        <f>SUMIFS(qPPTO[Presupuesto],qPPTO[MesNum],CL16,qPPTO[Línea],"Costo de ventas")</f>
        <v>817700960</v>
      </c>
      <c r="CQ16" s="1">
        <f>SUMIFS(qPPTO[Real],qPPTO[MesNum],CL16,qPPTO[Línea],"Gastos de administración")+SUMIFS(qPPTO[Real],qPPTO[MesNum],CL16,qPPTO[Línea],"Gastos de ventas")</f>
        <v>290800000</v>
      </c>
      <c r="CR16" s="1">
        <f>SUMIFS(qPPTO[Presupuesto],qPPTO[MesNum],CL16,qPPTO[Línea],"Gastos de administración")+SUMIFS(qPPTO[Presupuesto],qPPTO[MesNum],CL16,qPPTO[Línea],"Gastos de ventas")</f>
        <v>312316500</v>
      </c>
      <c r="CS16" s="1">
        <f>SUMIFS(qPPTO[Real],qPPTO[MesNum],CL16,qPPTO[Línea],"Gastos financieros")-SUMIFS(qPPTO[Real],qPPTO[MesNum],CL16,qPPTO[Línea],"Otros ingresos no operacionales")+SUMIFS(qPPTO[Real],qPPTO[MesNum],CL16,qPPTO[Línea],"Otros gastos no operacionales")</f>
        <v>24000000</v>
      </c>
      <c r="CT16" s="1">
        <f>SUMIFS(qPPTO[Presupuesto],qPPTO[MesNum],CL16,qPPTO[Línea],"Gastos financieros")-SUMIFS(qPPTO[Presupuesto],qPPTO[MesNum],CL16,qPPTO[Línea],"Otros ingresos no operacionales")+SUMIFS(qPPTO[Presupuesto],qPPTO[MesNum],CL16,qPPTO[Línea],"Otros gastos no operacionales")</f>
        <v>21790000</v>
      </c>
    </row>
    <row r="17" spans="1:98" ht="15" x14ac:dyDescent="0.4">
      <c r="A17"/>
      <c r="B17"/>
      <c r="C17"/>
      <c r="F17" t="s">
        <v>93</v>
      </c>
      <c r="G17" s="128">
        <v>120000000</v>
      </c>
      <c r="H17" s="128">
        <v>93600000</v>
      </c>
      <c r="I17" s="128">
        <v>-26400000</v>
      </c>
      <c r="J17" s="128">
        <v>26400000</v>
      </c>
      <c r="O17"/>
      <c r="P17"/>
      <c r="Q17"/>
      <c r="AK17"/>
      <c r="AL17"/>
      <c r="AM17"/>
      <c r="BX17" s="1" t="s">
        <v>194</v>
      </c>
      <c r="BY17" s="129">
        <f>BY13+BY15</f>
        <v>3639360000</v>
      </c>
      <c r="CH17" s="1" t="s">
        <v>148</v>
      </c>
      <c r="CI17" s="1">
        <f t="shared" ca="1" si="0"/>
        <v>1200</v>
      </c>
      <c r="CJ17" s="1">
        <f t="shared" ca="1" si="1"/>
        <v>1366</v>
      </c>
      <c r="CL17" s="1">
        <v>12</v>
      </c>
      <c r="CM17" s="1">
        <f>SUMIFS(qPPTO[Real],qPPTO[MesNum],CL17,qPPTO[Línea],"Ingresos operacionales")</f>
        <v>1200000000</v>
      </c>
      <c r="CN17" s="1">
        <f>SUMIFS(qPPTO[Presupuesto],qPPTO[MesNum],CL17,qPPTO[Línea],"Ingresos operacionales")</f>
        <v>1365660000</v>
      </c>
      <c r="CO17" s="1">
        <f>SUMIFS(qPPTO[Real],qPPTO[MesNum],CL17,qPPTO[Línea],"Costo de ventas")</f>
        <v>763100000</v>
      </c>
      <c r="CP17" s="1">
        <f>SUMIFS(qPPTO[Presupuesto],qPPTO[MesNum],CL17,qPPTO[Línea],"Costo de ventas")</f>
        <v>853374730</v>
      </c>
      <c r="CQ17" s="1">
        <f>SUMIFS(qPPTO[Real],qPPTO[MesNum],CL17,qPPTO[Línea],"Gastos de administración")+SUMIFS(qPPTO[Real],qPPTO[MesNum],CL17,qPPTO[Línea],"Gastos de ventas")</f>
        <v>293500000</v>
      </c>
      <c r="CR17" s="1">
        <f>SUMIFS(qPPTO[Presupuesto],qPPTO[MesNum],CL17,qPPTO[Línea],"Gastos de administración")+SUMIFS(qPPTO[Presupuesto],qPPTO[MesNum],CL17,qPPTO[Línea],"Gastos de ventas")</f>
        <v>315258000</v>
      </c>
      <c r="CS17" s="1">
        <f>SUMIFS(qPPTO[Real],qPPTO[MesNum],CL17,qPPTO[Línea],"Gastos financieros")-SUMIFS(qPPTO[Real],qPPTO[MesNum],CL17,qPPTO[Línea],"Otros ingresos no operacionales")+SUMIFS(qPPTO[Real],qPPTO[MesNum],CL17,qPPTO[Línea],"Otros gastos no operacionales")</f>
        <v>24000000</v>
      </c>
      <c r="CT17" s="1">
        <f>SUMIFS(qPPTO[Presupuesto],qPPTO[MesNum],CL17,qPPTO[Línea],"Gastos financieros")-SUMIFS(qPPTO[Presupuesto],qPPTO[MesNum],CL17,qPPTO[Línea],"Otros ingresos no operacionales")+SUMIFS(qPPTO[Presupuesto],qPPTO[MesNum],CL17,qPPTO[Línea],"Otros gastos no operacionales")</f>
        <v>21830000</v>
      </c>
    </row>
    <row r="18" spans="1:98" ht="15" x14ac:dyDescent="0.4">
      <c r="A18"/>
      <c r="B18"/>
      <c r="C18"/>
      <c r="F18" t="s">
        <v>114</v>
      </c>
      <c r="G18" s="128">
        <v>260000000</v>
      </c>
      <c r="H18" s="128">
        <v>234000000</v>
      </c>
      <c r="I18" s="128">
        <v>-26000000</v>
      </c>
      <c r="J18" s="128">
        <v>26000000</v>
      </c>
      <c r="O18"/>
      <c r="P18"/>
      <c r="Q18"/>
      <c r="AK18"/>
      <c r="AL18"/>
      <c r="AM18"/>
      <c r="BX18" s="1" t="s">
        <v>195</v>
      </c>
      <c r="BY18" s="129">
        <f>BY10-BY16</f>
        <v>980000000</v>
      </c>
    </row>
    <row r="19" spans="1:98" ht="15" x14ac:dyDescent="0.4">
      <c r="A19"/>
      <c r="B19"/>
      <c r="C19"/>
      <c r="F19" t="s">
        <v>103</v>
      </c>
      <c r="G19" s="128">
        <v>300000000</v>
      </c>
      <c r="H19" s="128">
        <v>318000000</v>
      </c>
      <c r="I19" s="128">
        <v>18000000</v>
      </c>
      <c r="J19" s="128">
        <v>18000000</v>
      </c>
      <c r="O19"/>
      <c r="P19"/>
      <c r="Q19"/>
      <c r="AK19"/>
      <c r="AL19"/>
      <c r="AM19"/>
      <c r="BX19" s="1" t="s">
        <v>196</v>
      </c>
      <c r="BY19" s="129">
        <f>BY11-BY17</f>
        <v>1484611000</v>
      </c>
    </row>
    <row r="20" spans="1:98" ht="15" x14ac:dyDescent="0.4">
      <c r="A20"/>
      <c r="B20"/>
      <c r="C20"/>
      <c r="F20" t="s">
        <v>78</v>
      </c>
      <c r="G20" s="128">
        <v>150000000</v>
      </c>
      <c r="H20" s="128">
        <v>167745000</v>
      </c>
      <c r="I20" s="128">
        <v>17745000.000000007</v>
      </c>
      <c r="J20" s="128">
        <v>17745000.000000007</v>
      </c>
      <c r="O20"/>
      <c r="P20"/>
      <c r="Q20"/>
      <c r="AK20"/>
      <c r="AL20"/>
      <c r="AM20"/>
      <c r="BX20" s="1" t="s">
        <v>197</v>
      </c>
      <c r="BY20" s="129">
        <f>IFERROR(SUMIFS(qPPTO[Real],qPPTO[Cuenta],"Depreciación y amortización"),0)</f>
        <v>180000000</v>
      </c>
    </row>
    <row r="21" spans="1:98" ht="15" x14ac:dyDescent="0.4">
      <c r="A21"/>
      <c r="B21"/>
      <c r="C21"/>
      <c r="F21" t="s">
        <v>106</v>
      </c>
      <c r="G21" s="128">
        <v>240000000</v>
      </c>
      <c r="H21" s="128">
        <v>249600000</v>
      </c>
      <c r="I21" s="128">
        <v>9600000</v>
      </c>
      <c r="J21" s="128">
        <v>9600000</v>
      </c>
      <c r="O21"/>
      <c r="P21"/>
      <c r="Q21"/>
      <c r="AK21"/>
      <c r="AL21"/>
      <c r="AM21"/>
      <c r="BX21" s="1" t="s">
        <v>198</v>
      </c>
      <c r="BY21" s="129">
        <f>IFERROR(SUMIFS(qPPTO[Presupuesto],qPPTO[Cuenta],"Depreciación y amortización"),0)</f>
        <v>180000000</v>
      </c>
    </row>
    <row r="22" spans="1:98" ht="15" x14ac:dyDescent="0.4">
      <c r="A22"/>
      <c r="B22"/>
      <c r="C22"/>
      <c r="F22" t="s">
        <v>90</v>
      </c>
      <c r="G22" s="128">
        <v>180000000</v>
      </c>
      <c r="H22" s="128">
        <v>187200000</v>
      </c>
      <c r="I22" s="128">
        <v>7200000</v>
      </c>
      <c r="J22" s="128">
        <v>7200000</v>
      </c>
      <c r="O22"/>
      <c r="P22"/>
      <c r="Q22"/>
      <c r="AK22"/>
      <c r="AL22"/>
      <c r="AM22"/>
      <c r="BX22" s="1" t="s">
        <v>199</v>
      </c>
      <c r="BY22" s="129">
        <f>BY18+BY20</f>
        <v>1160000000</v>
      </c>
    </row>
    <row r="23" spans="1:98" ht="15" x14ac:dyDescent="0.4">
      <c r="F23" t="s">
        <v>94</v>
      </c>
      <c r="G23" s="128">
        <v>96000000</v>
      </c>
      <c r="H23" s="128">
        <v>99840000</v>
      </c>
      <c r="I23" s="128">
        <v>3840000</v>
      </c>
      <c r="J23" s="128">
        <v>3840000</v>
      </c>
      <c r="AK23"/>
      <c r="AL23"/>
      <c r="AM23"/>
      <c r="BX23" s="1" t="s">
        <v>200</v>
      </c>
      <c r="BY23" s="129">
        <f>BY19+BY21</f>
        <v>1664611000</v>
      </c>
    </row>
    <row r="24" spans="1:98" ht="15" x14ac:dyDescent="0.4">
      <c r="F24" t="s">
        <v>107</v>
      </c>
      <c r="G24" s="128">
        <v>90000000</v>
      </c>
      <c r="H24" s="128">
        <v>93600000</v>
      </c>
      <c r="I24" s="128">
        <v>3600000</v>
      </c>
      <c r="J24" s="128">
        <v>3600000</v>
      </c>
      <c r="AK24"/>
      <c r="AL24"/>
      <c r="AM24"/>
      <c r="BX24" s="1" t="s">
        <v>201</v>
      </c>
      <c r="BY24" s="129">
        <f>IFERROR(SUMIFS(qPPTO[Real],qPPTO[Línea],"Gastos financieros"),0)</f>
        <v>308000000</v>
      </c>
    </row>
    <row r="25" spans="1:98" ht="15" x14ac:dyDescent="0.4">
      <c r="F25" t="s">
        <v>92</v>
      </c>
      <c r="G25" s="128">
        <v>84000000</v>
      </c>
      <c r="H25" s="128">
        <v>87360000</v>
      </c>
      <c r="I25" s="128">
        <v>3360000</v>
      </c>
      <c r="J25" s="128">
        <v>3360000</v>
      </c>
      <c r="AK25"/>
      <c r="AL25"/>
      <c r="AM25"/>
      <c r="BX25" s="1" t="s">
        <v>202</v>
      </c>
      <c r="BY25" s="129">
        <f>IFERROR(SUMIFS(qPPTO[Presupuesto],qPPTO[Línea],"Gastos financieros"),0)</f>
        <v>283920000</v>
      </c>
    </row>
    <row r="26" spans="1:98" ht="15" x14ac:dyDescent="0.4">
      <c r="F26" t="s">
        <v>121</v>
      </c>
      <c r="G26" s="128">
        <v>60000000</v>
      </c>
      <c r="H26" s="128">
        <v>62400000</v>
      </c>
      <c r="I26" s="128">
        <v>2400000</v>
      </c>
      <c r="J26" s="128">
        <v>2400000</v>
      </c>
      <c r="BX26" s="1" t="s">
        <v>203</v>
      </c>
      <c r="BY26" s="129">
        <f>IFERROR(SUMIFS(qPPTO[Real],qPPTO[Línea],"Otros ingresos no operacionales"),0)</f>
        <v>60000000</v>
      </c>
    </row>
    <row r="27" spans="1:98" ht="15" x14ac:dyDescent="0.4">
      <c r="F27" t="s">
        <v>118</v>
      </c>
      <c r="G27" s="128">
        <v>48000000</v>
      </c>
      <c r="H27" s="128">
        <v>49920000</v>
      </c>
      <c r="I27" s="128">
        <v>1920000</v>
      </c>
      <c r="J27" s="128">
        <v>1920000</v>
      </c>
      <c r="BX27" s="1" t="s">
        <v>204</v>
      </c>
      <c r="BY27" s="129">
        <f>IFERROR(SUMIFS(qPPTO[Presupuesto],qPPTO[Línea],"Otros ingresos no operacionales"),0)</f>
        <v>62400000</v>
      </c>
    </row>
    <row r="28" spans="1:98" ht="15" x14ac:dyDescent="0.4">
      <c r="F28" t="s">
        <v>95</v>
      </c>
      <c r="G28" s="128">
        <v>180000000</v>
      </c>
      <c r="H28" s="128">
        <v>180000000</v>
      </c>
      <c r="I28" s="128">
        <v>0</v>
      </c>
      <c r="J28" s="128">
        <v>0</v>
      </c>
      <c r="BX28" s="1" t="s">
        <v>205</v>
      </c>
      <c r="BY28" s="129">
        <f>IFERROR(SUMIFS(qPPTO[Real],qPPTO[Línea],"Otros gastos no operacionales"),0)</f>
        <v>40000000</v>
      </c>
    </row>
    <row r="29" spans="1:98" ht="15" x14ac:dyDescent="0.4">
      <c r="F29" t="s">
        <v>125</v>
      </c>
      <c r="G29" s="128">
        <v>40000000</v>
      </c>
      <c r="H29" s="128">
        <v>40000000</v>
      </c>
      <c r="I29" s="128">
        <v>0</v>
      </c>
      <c r="J29" s="128">
        <v>0</v>
      </c>
      <c r="BX29" s="1" t="s">
        <v>206</v>
      </c>
      <c r="BY29" s="129">
        <f>IFERROR(SUMIFS(qPPTO[Presupuesto],qPPTO[Línea],"Otros gastos no operacionales"),0)</f>
        <v>40000000</v>
      </c>
    </row>
    <row r="30" spans="1:98" x14ac:dyDescent="0.4">
      <c r="BX30" s="1" t="s">
        <v>207</v>
      </c>
      <c r="BY30" s="129">
        <f>BY18-BY24+BY26-BY28</f>
        <v>692000000</v>
      </c>
    </row>
    <row r="31" spans="1:98" x14ac:dyDescent="0.4">
      <c r="BX31" s="1" t="s">
        <v>208</v>
      </c>
      <c r="BY31" s="129">
        <f>BY19-BY25+BY27-BY29</f>
        <v>1223091000</v>
      </c>
    </row>
    <row r="32" spans="1:98" x14ac:dyDescent="0.4">
      <c r="BX32" s="1" t="s">
        <v>209</v>
      </c>
      <c r="BY32" s="129">
        <f>MAX(0,BY30)*pTasaRenta</f>
        <v>242199999.99999997</v>
      </c>
    </row>
    <row r="33" spans="30:77" x14ac:dyDescent="0.4">
      <c r="BX33" s="1" t="s">
        <v>210</v>
      </c>
      <c r="BY33" s="129">
        <f>MAX(0,BY31)*pTasaRenta</f>
        <v>428081850</v>
      </c>
    </row>
    <row r="34" spans="30:77" x14ac:dyDescent="0.4">
      <c r="BX34" s="1" t="s">
        <v>211</v>
      </c>
      <c r="BY34" s="129">
        <f>BY30-BY32</f>
        <v>449800000</v>
      </c>
    </row>
    <row r="35" spans="30:77" x14ac:dyDescent="0.4">
      <c r="BX35" s="1" t="s">
        <v>212</v>
      </c>
      <c r="BY35" s="129">
        <f>BY31-BY33</f>
        <v>795009150</v>
      </c>
    </row>
    <row r="36" spans="30:77" x14ac:dyDescent="0.4">
      <c r="BX36" s="1" t="s">
        <v>213</v>
      </c>
      <c r="BY36" s="129">
        <f>SUMPRODUCT((qPPTO[Tipo]="Ingreso")*qPPTO[Presupuesto])-SUMPRODUCT((qPPTO[Tipo]&lt;&gt;"Ingreso")*qPPTO[Presupuesto])</f>
        <v>1223091000</v>
      </c>
    </row>
    <row r="37" spans="30:77" x14ac:dyDescent="0.4">
      <c r="BX37" s="1" t="s">
        <v>214</v>
      </c>
      <c r="BY37" s="129">
        <f>BY31-BY36</f>
        <v>0</v>
      </c>
    </row>
    <row r="38" spans="30:77" x14ac:dyDescent="0.4">
      <c r="BX38" s="1" t="s">
        <v>215</v>
      </c>
      <c r="BY38" s="130">
        <f>IFERROR(BY10/BY6,0)</f>
        <v>0.36416666666666669</v>
      </c>
    </row>
    <row r="39" spans="30:77" x14ac:dyDescent="0.4">
      <c r="BX39" s="1" t="s">
        <v>216</v>
      </c>
      <c r="BY39" s="130">
        <f>IFERROR(BY11/BY7,0)</f>
        <v>0.37520107493812516</v>
      </c>
    </row>
    <row r="40" spans="30:77" ht="4" customHeight="1" x14ac:dyDescent="0.4">
      <c r="AD40" s="135"/>
      <c r="AE40" s="131"/>
      <c r="AF40" s="131"/>
      <c r="AG40" s="136"/>
      <c r="BX40" s="1" t="s">
        <v>217</v>
      </c>
      <c r="BY40" s="130">
        <f>IFERROR(BY22/BY6,0)</f>
        <v>9.6666666666666665E-2</v>
      </c>
    </row>
    <row r="41" spans="30:77" ht="15" customHeight="1" x14ac:dyDescent="0.4">
      <c r="AD41" s="132" t="s">
        <v>265</v>
      </c>
      <c r="AE41" s="132" t="s">
        <v>266</v>
      </c>
      <c r="AF41" s="132" t="s">
        <v>267</v>
      </c>
      <c r="AG41" s="137" t="s">
        <v>268</v>
      </c>
      <c r="BX41" s="1" t="s">
        <v>218</v>
      </c>
      <c r="BY41" s="130">
        <f>IFERROR(BY23/BY7,0)</f>
        <v>0.12189058770118477</v>
      </c>
    </row>
    <row r="42" spans="30:77" ht="23" customHeight="1" x14ac:dyDescent="0.4">
      <c r="AD42" s="133">
        <f>BY39</f>
        <v>0.37520107493812516</v>
      </c>
      <c r="AE42" s="133">
        <f>BY41</f>
        <v>0.12189058770118477</v>
      </c>
      <c r="AF42" s="133">
        <f>BY43</f>
        <v>5.8214281006985634E-2</v>
      </c>
      <c r="AG42" s="138">
        <f>BY45</f>
        <v>0.26649092746364395</v>
      </c>
      <c r="BX42" s="1" t="s">
        <v>219</v>
      </c>
      <c r="BY42" s="130">
        <f>IFERROR(BY34/BY6,0)</f>
        <v>3.7483333333333334E-2</v>
      </c>
    </row>
    <row r="43" spans="30:77" ht="24" customHeight="1" x14ac:dyDescent="0.4">
      <c r="AD43" s="134" t="str">
        <f>"2026: "&amp;FIXED(BY38*100,1)&amp;"% · "&amp;IF(AD42&gt;=pMetaMargenBruto,"dentro de la meta","meta "&amp;FIXED(pMetaMargenBruto*100,0)&amp;"%")</f>
        <v>2026: 36,4% · dentro de la meta</v>
      </c>
      <c r="AE43" s="134" t="str">
        <f>"2026: "&amp;FIXED(BY40*100,1)&amp;"% · "&amp;IF(AE42&gt;=pMetaMargenEbitda,"dentro de la meta","meta "&amp;FIXED(pMetaMargenEbitda*100,0)&amp;"%")</f>
        <v>2026: 9,7% · dentro de la meta</v>
      </c>
      <c r="AF43" s="134" t="str">
        <f>"2026: "&amp;FIXED(BY42*100,1)&amp;"% · "&amp;IF(AF42&gt;=pMetaMargenNeto,"dentro de la meta","meta "&amp;FIXED(pMetaMargenNeto*100,0)&amp;"%")</f>
        <v>2026: 3,7% · dentro de la meta</v>
      </c>
      <c r="AG43" s="139" t="str">
        <f>"2026: "&amp;FIXED(BY44*100,1)&amp;"% · "&amp;IF(AG42&lt;=pMetaGastosIngresos,"dentro de la meta","meta "&amp;FIXED(pMetaGastosIngresos*100,0)&amp;"%")</f>
        <v>2026: 28,3% · dentro de la meta</v>
      </c>
      <c r="BX43" s="1" t="s">
        <v>220</v>
      </c>
      <c r="BY43" s="130">
        <f>IFERROR(BY35/BY7,0)</f>
        <v>5.8214281006985634E-2</v>
      </c>
    </row>
    <row r="44" spans="30:77" x14ac:dyDescent="0.4">
      <c r="BX44" s="1" t="s">
        <v>221</v>
      </c>
      <c r="BY44" s="130">
        <f>IFERROR(BY16/BY6,0)</f>
        <v>0.28249999999999997</v>
      </c>
    </row>
    <row r="45" spans="30:77" x14ac:dyDescent="0.4">
      <c r="BX45" s="1" t="s">
        <v>222</v>
      </c>
      <c r="BY45" s="130">
        <f>IFERROR(BY17/BY7,0)</f>
        <v>0.26649092746364395</v>
      </c>
    </row>
    <row r="46" spans="30:77" x14ac:dyDescent="0.4">
      <c r="BX46" s="1" t="s">
        <v>223</v>
      </c>
      <c r="BY46" s="1" t="str">
        <f ca="1">IF(linTabN&lt;&gt;1,"1 · Ingresos",INDEX(linTabLbl,1))</f>
        <v>1 · Ingresos</v>
      </c>
    </row>
    <row r="47" spans="30:77" x14ac:dyDescent="0.4">
      <c r="BX47" s="1" t="s">
        <v>224</v>
      </c>
      <c r="BY47" s="129">
        <f ca="1">IF(BY46="1 · Ingresos",BY6,IF(BY46="2 · Costo de ventas",BY8,IF(BY46="3 · Gastos operativos",BY16,BY34)))</f>
        <v>12000000000</v>
      </c>
    </row>
    <row r="48" spans="30:77" x14ac:dyDescent="0.4">
      <c r="BX48" s="1" t="s">
        <v>225</v>
      </c>
      <c r="BY48" s="129">
        <f ca="1">IF(BY46="1 · Ingresos",BY7,IF(BY46="2 · Costo de ventas",BY9,IF(BY46="3 · Gastos operativos",BY17,BY35)))</f>
        <v>13656600000</v>
      </c>
    </row>
    <row r="49" spans="14:77" x14ac:dyDescent="0.4">
      <c r="BX49" s="1" t="s">
        <v>226</v>
      </c>
      <c r="BY49" s="129">
        <f ca="1">BY48-BY47</f>
        <v>1656600000</v>
      </c>
    </row>
    <row r="50" spans="14:77" x14ac:dyDescent="0.4">
      <c r="BX50" s="1" t="s">
        <v>227</v>
      </c>
      <c r="BY50" s="130">
        <f ca="1">IFERROR(BY49/BY47,0)</f>
        <v>0.13805000000000001</v>
      </c>
    </row>
    <row r="51" spans="14:77" x14ac:dyDescent="0.4">
      <c r="BX51" s="1" t="s">
        <v>228</v>
      </c>
      <c r="BY51" s="1">
        <f ca="1">IF(OR(BY46="2 · Costo de ventas",BY46="3 · Gastos operativos"),1,0)</f>
        <v>0</v>
      </c>
    </row>
    <row r="52" spans="14:77" x14ac:dyDescent="0.4">
      <c r="BX52" s="1" t="s">
        <v>229</v>
      </c>
      <c r="BY52" s="1">
        <f ca="1">IF(BY51=1,IF(BY50&lt;=BY60,1,0),IF(BY49&gt;=0,1,0))</f>
        <v>1</v>
      </c>
    </row>
    <row r="53" spans="14:77" x14ac:dyDescent="0.4">
      <c r="BX53" s="1" t="s">
        <v>230</v>
      </c>
      <c r="BY53" s="1" t="str">
        <f ca="1">IF(BY52=0,"",IF(BY49&gt;=0,"+","-")&amp;FIXED(ABS(BY49),0)&amp;"  |  "&amp;IF(BY49&gt;=0,"+","-")&amp;FIXED(ABS(BY50)*100,1)&amp;"%")</f>
        <v>+1.656.600.000  |  +13,8%</v>
      </c>
    </row>
    <row r="54" spans="14:77" x14ac:dyDescent="0.4">
      <c r="BX54" s="1" t="s">
        <v>231</v>
      </c>
      <c r="BY54" s="1" t="str">
        <f ca="1">IF(BY52=1,"",IF(BY49&gt;=0,"+","-")&amp;FIXED(ABS(BY49),0)&amp;"  |  "&amp;IF(BY49&gt;=0,"+","-")&amp;FIXED(ABS(BY50)*100,1)&amp;"%")</f>
        <v/>
      </c>
    </row>
    <row r="55" spans="14:77" x14ac:dyDescent="0.4">
      <c r="BX55" s="1" t="s">
        <v>232</v>
      </c>
      <c r="BY55" s="1" t="str">
        <f ca="1">MID(BY46,5,50)&amp;" · presupuesto 2027"</f>
        <v>Ingresos · presupuesto 2027</v>
      </c>
    </row>
    <row r="56" spans="14:77" x14ac:dyDescent="0.4">
      <c r="BX56" s="1" t="s">
        <v>233</v>
      </c>
      <c r="BY56" s="1" t="str">
        <f ca="1">"Real 2026: $"&amp;FIXED(BY47,0)</f>
        <v>Real 2026: $12.000.000.000</v>
      </c>
    </row>
    <row r="57" spans="14:77" x14ac:dyDescent="0.4">
      <c r="BX57" s="1" t="s">
        <v>234</v>
      </c>
      <c r="BY57" s="1" t="str">
        <f>"Distribuidora Altamira S.A.S.  ·  presupuesto 2027 contra real 2026  ·  cifras en pesos colombianos"</f>
        <v>Distribuidora Altamira S.A.S.  ·  presupuesto 2027 contra real 2026  ·  cifras en pesos colombianos</v>
      </c>
    </row>
    <row r="58" spans="14:77" x14ac:dyDescent="0.4">
      <c r="BX58" s="1" t="s">
        <v>235</v>
      </c>
      <c r="BY58" s="1" t="str">
        <f>"Utilidad neta: $"&amp;FIXED(BY34/1000000,0)&amp;" M en 2026 y $"&amp;FIXED(BY35/1000000,0)&amp;" M en 2027 ("&amp;IF(BY61&gt;=0,"+","-")&amp;FIXED(ABS(BY61)*100,1)&amp;"%). Control: cascada - suma directa = $"&amp;FIXED(BY37,0)</f>
        <v>Utilidad neta: $450 M en 2026 y $795 M en 2027 (+76,7%). Control: cascada - suma directa = $0</v>
      </c>
    </row>
    <row r="59" spans="14:77" x14ac:dyDescent="0.4">
      <c r="BX59" s="1" t="s">
        <v>236</v>
      </c>
      <c r="BY59" s="1" t="str">
        <f>"Mostrando "&amp;FIXED(MIN(15,cuentaN),0)&amp;" de "&amp;FIXED(cuentaN,0)&amp;" cuentas, ordenadas por mayor variación absoluta entre 2026 y 2027"</f>
        <v>Mostrando 15 de 23 cuentas, ordenadas por mayor variación absoluta entre 2026 y 2027</v>
      </c>
    </row>
    <row r="60" spans="14:77" ht="14.5" customHeight="1" x14ac:dyDescent="0.4">
      <c r="N60" s="147" t="s">
        <v>269</v>
      </c>
      <c r="O60" s="147" t="s">
        <v>270</v>
      </c>
      <c r="P60" s="147" t="s">
        <v>271</v>
      </c>
      <c r="Q60" s="140" t="s">
        <v>272</v>
      </c>
      <c r="R60" s="140" t="s">
        <v>273</v>
      </c>
      <c r="S60" s="140" t="s">
        <v>274</v>
      </c>
      <c r="T60" s="140" t="s">
        <v>275</v>
      </c>
      <c r="BX60" s="1" t="s">
        <v>237</v>
      </c>
      <c r="BY60" s="130">
        <f>IFERROR(BY7/BY6-1,0)</f>
        <v>0.13805000000000001</v>
      </c>
    </row>
    <row r="61" spans="14:77" ht="14.5" customHeight="1" x14ac:dyDescent="0.4">
      <c r="N61" s="148" t="str">
        <f ca="1">IF(cuentaN&lt;1,"",INDEX(cuentaLbl,1))</f>
        <v>Venta de mercancía nacional</v>
      </c>
      <c r="O61" s="151" t="str">
        <f ca="1">IF(N61="","",IFERROR(INDEX(qPPTO[Centro de costo],MATCH(N61,qPPTO[Cuenta],0)),""))</f>
        <v>Comercial</v>
      </c>
      <c r="P61" s="151" t="str">
        <f ca="1">IF(N61="","",IFERROR(INDEX(qPPTO[Driver],MATCH(N61,qPPTO[Cuenta],0)),""))</f>
        <v>Ventas</v>
      </c>
      <c r="Q61" s="141">
        <f ca="1">IF(N61="","",INDEX(cuentaReal,1))</f>
        <v>9600000000</v>
      </c>
      <c r="R61" s="141">
        <f ca="1">IF(N61="","",INDEX(cuentaPpto,1))</f>
        <v>10684800000</v>
      </c>
      <c r="S61" s="141">
        <f t="shared" ref="S61:S75" ca="1" si="8">IF(N61="","",R61-Q61)</f>
        <v>1084800000</v>
      </c>
      <c r="T61" s="142">
        <f t="shared" ref="T61:T75" ca="1" si="9">IF(N61="","",IF(Q61=0,0,S61/Q61))</f>
        <v>0.113</v>
      </c>
      <c r="U61" s="1">
        <f ca="1">IF(N61="",0,IF(IFERROR(INDEX(qPPTO[Tipo],MATCH(N61,qPPTO[Cuenta],0)),"")="Ingreso",1,0))</f>
        <v>1</v>
      </c>
      <c r="BX61" s="1" t="s">
        <v>238</v>
      </c>
      <c r="BY61" s="130">
        <f>IFERROR(BY35/BY34-1,0)</f>
        <v>0.76747254335260107</v>
      </c>
    </row>
    <row r="62" spans="14:77" ht="14.5" customHeight="1" x14ac:dyDescent="0.4">
      <c r="N62" s="149" t="str">
        <f ca="1">IF(cuentaN&lt;2,"",INDEX(cuentaLbl,2))</f>
        <v>Costo de mercancía vendida</v>
      </c>
      <c r="O62" s="152" t="str">
        <f ca="1">IF(N62="","",IFERROR(INDEX(qPPTO[Centro de costo],MATCH(N62,qPPTO[Cuenta],0)),""))</f>
        <v>Operaciones</v>
      </c>
      <c r="P62" s="152" t="str">
        <f ca="1">IF(N62="","",IFERROR(INDEX(qPPTO[Driver],MATCH(N62,qPPTO[Cuenta],0)),""))</f>
        <v>Costo variable</v>
      </c>
      <c r="Q62" s="143">
        <f ca="1">IF(N62="","",INDEX(cuentaReal,2))</f>
        <v>7000000000</v>
      </c>
      <c r="R62" s="143">
        <f ca="1">IF(N62="","",INDEX(cuentaPpto,2))</f>
        <v>7828100000</v>
      </c>
      <c r="S62" s="143">
        <f t="shared" ca="1" si="8"/>
        <v>828100000</v>
      </c>
      <c r="T62" s="144">
        <f t="shared" ca="1" si="9"/>
        <v>0.1183</v>
      </c>
      <c r="U62" s="1">
        <f ca="1">IF(N62="",0,IF(IFERROR(INDEX(qPPTO[Tipo],MATCH(N62,qPPTO[Cuenta],0)),"")="Ingreso",1,0))</f>
        <v>0</v>
      </c>
      <c r="BX62" s="1" t="s">
        <v>239</v>
      </c>
      <c r="BY62" s="1" t="str">
        <f ca="1">IFERROR("Mayor aumento de gasto: "&amp;INDEX(ccEtq,MATCH(MAX(ccVar),ccVar,0))&amp;" (+"&amp;FIXED(MAX(ccVar)*100,1)&amp;"%) · millones de pesos","Millones de pesos")</f>
        <v>Mayor aumento de gasto: Comercial (+14,5%) · millones de pesos</v>
      </c>
    </row>
    <row r="63" spans="14:77" ht="14.5" customHeight="1" x14ac:dyDescent="0.4">
      <c r="N63" s="149" t="str">
        <f ca="1">IF(cuentaN&lt;3,"",INDEX(cuentaLbl,3))</f>
        <v>Ventas canal digital</v>
      </c>
      <c r="O63" s="152" t="str">
        <f ca="1">IF(N63="","",IFERROR(INDEX(qPPTO[Centro de costo],MATCH(N63,qPPTO[Cuenta],0)),""))</f>
        <v>Comercial</v>
      </c>
      <c r="P63" s="152" t="str">
        <f ca="1">IF(N63="","",IFERROR(INDEX(qPPTO[Driver],MATCH(N63,qPPTO[Cuenta],0)),""))</f>
        <v>Ventas</v>
      </c>
      <c r="Q63" s="143">
        <f ca="1">IF(N63="","",INDEX(cuentaReal,3))</f>
        <v>1800000000</v>
      </c>
      <c r="R63" s="143">
        <f ca="1">IF(N63="","",INDEX(cuentaPpto,3))</f>
        <v>2304000000</v>
      </c>
      <c r="S63" s="143">
        <f t="shared" ca="1" si="8"/>
        <v>504000000</v>
      </c>
      <c r="T63" s="144">
        <f t="shared" ca="1" si="9"/>
        <v>0.28000000000000003</v>
      </c>
      <c r="U63" s="1">
        <f ca="1">IF(N63="",0,IF(IFERROR(INDEX(qPPTO[Tipo],MATCH(N63,qPPTO[Cuenta],0)),"")="Ingreso",1,0))</f>
        <v>1</v>
      </c>
      <c r="BX63" s="1" t="s">
        <v>240</v>
      </c>
      <c r="BY63" s="1" t="str">
        <f ca="1">MID(BY46,5,50)&amp;" · millones de pesos · mes pico 2027: "&amp;INDEX($CH$6:$CH$17,MATCH(MAX($CJ$6:$CJ$17),$CJ$6:$CJ$17,0))</f>
        <v>Ingresos · millones de pesos · mes pico 2027: Dic</v>
      </c>
    </row>
    <row r="64" spans="14:77" ht="14.5" customHeight="1" x14ac:dyDescent="0.4">
      <c r="N64" s="149" t="str">
        <f ca="1">IF(cuentaN&lt;4,"",INDEX(cuentaLbl,4))</f>
        <v>Publicidad y mercadeo</v>
      </c>
      <c r="O64" s="152" t="str">
        <f ca="1">IF(N64="","",IFERROR(INDEX(qPPTO[Centro de costo],MATCH(N64,qPPTO[Cuenta],0)),""))</f>
        <v>Comercial</v>
      </c>
      <c r="P64" s="152" t="str">
        <f ca="1">IF(N64="","",IFERROR(INDEX(qPPTO[Driver],MATCH(N64,qPPTO[Cuenta],0)),""))</f>
        <v>IPC</v>
      </c>
      <c r="Q64" s="143">
        <f ca="1">IF(N64="","",INDEX(cuentaReal,4))</f>
        <v>240000000</v>
      </c>
      <c r="R64" s="143">
        <f ca="1">IF(N64="","",INDEX(cuentaPpto,4))</f>
        <v>324479999.99999994</v>
      </c>
      <c r="S64" s="143">
        <f t="shared" ca="1" si="8"/>
        <v>84479999.99999994</v>
      </c>
      <c r="T64" s="144">
        <f t="shared" ca="1" si="9"/>
        <v>0.35199999999999976</v>
      </c>
      <c r="U64" s="1">
        <f ca="1">IF(N64="",0,IF(IFERROR(INDEX(qPPTO[Tipo],MATCH(N64,qPPTO[Cuenta],0)),"")="Ingreso",1,0))</f>
        <v>0</v>
      </c>
    </row>
    <row r="65" spans="14:21" ht="14.5" customHeight="1" x14ac:dyDescent="0.4">
      <c r="N65" s="149" t="str">
        <f ca="1">IF(cuentaN&lt;5,"",INDEX(cuentaLbl,5))</f>
        <v>Servicios de instalación</v>
      </c>
      <c r="O65" s="152" t="str">
        <f ca="1">IF(N65="","",IFERROR(INDEX(qPPTO[Centro de costo],MATCH(N65,qPPTO[Cuenta],0)),""))</f>
        <v>Comercial</v>
      </c>
      <c r="P65" s="152" t="str">
        <f ca="1">IF(N65="","",IFERROR(INDEX(qPPTO[Driver],MATCH(N65,qPPTO[Cuenta],0)),""))</f>
        <v>Ventas</v>
      </c>
      <c r="Q65" s="143">
        <f ca="1">IF(N65="","",INDEX(cuentaReal,5))</f>
        <v>600000000</v>
      </c>
      <c r="R65" s="143">
        <f ca="1">IF(N65="","",INDEX(cuentaPpto,5))</f>
        <v>667800000</v>
      </c>
      <c r="S65" s="143">
        <f t="shared" ca="1" si="8"/>
        <v>67800000</v>
      </c>
      <c r="T65" s="144">
        <f t="shared" ca="1" si="9"/>
        <v>0.113</v>
      </c>
      <c r="U65" s="1">
        <f ca="1">IF(N65="",0,IF(IFERROR(INDEX(qPPTO[Tipo],MATCH(N65,qPPTO[Cuenta],0)),"")="Ingreso",1,0))</f>
        <v>1</v>
      </c>
    </row>
    <row r="66" spans="14:21" ht="14.5" customHeight="1" x14ac:dyDescent="0.4">
      <c r="N66" s="149" t="str">
        <f ca="1">IF(cuentaN&lt;6,"",INDEX(cuentaLbl,6))</f>
        <v>Fletes de compra</v>
      </c>
      <c r="O66" s="152" t="str">
        <f ca="1">IF(N66="","",IFERROR(INDEX(qPPTO[Centro de costo],MATCH(N66,qPPTO[Cuenta],0)),""))</f>
        <v>Operaciones</v>
      </c>
      <c r="P66" s="152" t="str">
        <f ca="1">IF(N66="","",IFERROR(INDEX(qPPTO[Driver],MATCH(N66,qPPTO[Cuenta],0)),""))</f>
        <v>Costo variable</v>
      </c>
      <c r="Q66" s="143">
        <f ca="1">IF(N66="","",INDEX(cuentaReal,6))</f>
        <v>480000000</v>
      </c>
      <c r="R66" s="143">
        <f ca="1">IF(N66="","",INDEX(cuentaPpto,6))</f>
        <v>536784000</v>
      </c>
      <c r="S66" s="143">
        <f t="shared" ca="1" si="8"/>
        <v>56784000</v>
      </c>
      <c r="T66" s="144">
        <f t="shared" ca="1" si="9"/>
        <v>0.1183</v>
      </c>
      <c r="U66" s="1">
        <f ca="1">IF(N66="",0,IF(IFERROR(INDEX(qPPTO[Tipo],MATCH(N66,qPPTO[Cuenta],0)),"")="Ingreso",1,0))</f>
        <v>0</v>
      </c>
    </row>
    <row r="67" spans="14:21" ht="14.5" customHeight="1" x14ac:dyDescent="0.4">
      <c r="N67" s="149" t="str">
        <f ca="1">IF(cuentaN&lt;7,"",INDEX(cuentaLbl,7))</f>
        <v>Nómina administrativa</v>
      </c>
      <c r="O67" s="152" t="str">
        <f ca="1">IF(N67="","",IFERROR(INDEX(qPPTO[Centro de costo],MATCH(N67,qPPTO[Cuenta],0)),""))</f>
        <v>Administración</v>
      </c>
      <c r="P67" s="152" t="str">
        <f ca="1">IF(N67="","",IFERROR(INDEX(qPPTO[Driver],MATCH(N67,qPPTO[Cuenta],0)),""))</f>
        <v>Nómina</v>
      </c>
      <c r="Q67" s="143">
        <f ca="1">IF(N67="","",INDEX(cuentaReal,7))</f>
        <v>600000000</v>
      </c>
      <c r="R67" s="143">
        <f ca="1">IF(N67="","",INDEX(cuentaPpto,7))</f>
        <v>642000000</v>
      </c>
      <c r="S67" s="143">
        <f t="shared" ca="1" si="8"/>
        <v>42000000</v>
      </c>
      <c r="T67" s="144">
        <f t="shared" ca="1" si="9"/>
        <v>7.0000000000000007E-2</v>
      </c>
      <c r="U67" s="1">
        <f ca="1">IF(N67="",0,IF(IFERROR(INDEX(qPPTO[Tipo],MATCH(N67,qPPTO[Cuenta],0)),"")="Ingreso",1,0))</f>
        <v>0</v>
      </c>
    </row>
    <row r="68" spans="14:21" ht="14.5" customHeight="1" x14ac:dyDescent="0.4">
      <c r="N68" s="149" t="str">
        <f ca="1">IF(cuentaN&lt;8,"",INDEX(cuentaLbl,8))</f>
        <v>Comisiones de ventas</v>
      </c>
      <c r="O68" s="152" t="str">
        <f ca="1">IF(N68="","",IFERROR(INDEX(qPPTO[Centro de costo],MATCH(N68,qPPTO[Cuenta],0)),""))</f>
        <v>Comercial</v>
      </c>
      <c r="P68" s="152" t="str">
        <f ca="1">IF(N68="","",IFERROR(INDEX(qPPTO[Driver],MATCH(N68,qPPTO[Cuenta],0)),""))</f>
        <v>Ventas</v>
      </c>
      <c r="Q68" s="143">
        <f ca="1">IF(N68="","",INDEX(cuentaReal,8))</f>
        <v>360000000</v>
      </c>
      <c r="R68" s="143">
        <f ca="1">IF(N68="","",INDEX(cuentaPpto,8))</f>
        <v>400680000</v>
      </c>
      <c r="S68" s="143">
        <f t="shared" ca="1" si="8"/>
        <v>40680000</v>
      </c>
      <c r="T68" s="144">
        <f t="shared" ca="1" si="9"/>
        <v>0.113</v>
      </c>
      <c r="U68" s="1">
        <f ca="1">IF(N68="",0,IF(IFERROR(INDEX(qPPTO[Tipo],MATCH(N68,qPPTO[Cuenta],0)),"")="Ingreso",1,0))</f>
        <v>0</v>
      </c>
    </row>
    <row r="69" spans="14:21" ht="14.5" customHeight="1" x14ac:dyDescent="0.4">
      <c r="N69" s="149" t="str">
        <f ca="1">IF(cuentaN&lt;9,"",INDEX(cuentaLbl,9))</f>
        <v>Nómina comercial</v>
      </c>
      <c r="O69" s="152" t="str">
        <f ca="1">IF(N69="","",IFERROR(INDEX(qPPTO[Centro de costo],MATCH(N69,qPPTO[Cuenta],0)),""))</f>
        <v>Comercial</v>
      </c>
      <c r="P69" s="152" t="str">
        <f ca="1">IF(N69="","",IFERROR(INDEX(qPPTO[Driver],MATCH(N69,qPPTO[Cuenta],0)),""))</f>
        <v>Nómina</v>
      </c>
      <c r="Q69" s="143">
        <f ca="1">IF(N69="","",INDEX(cuentaReal,9))</f>
        <v>520000000</v>
      </c>
      <c r="R69" s="143">
        <f ca="1">IF(N69="","",INDEX(cuentaPpto,9))</f>
        <v>556400000</v>
      </c>
      <c r="S69" s="143">
        <f t="shared" ca="1" si="8"/>
        <v>36400000</v>
      </c>
      <c r="T69" s="144">
        <f t="shared" ca="1" si="9"/>
        <v>7.0000000000000007E-2</v>
      </c>
      <c r="U69" s="1">
        <f ca="1">IF(N69="",0,IF(IFERROR(INDEX(qPPTO[Tipo],MATCH(N69,qPPTO[Cuenta],0)),"")="Ingreso",1,0))</f>
        <v>0</v>
      </c>
    </row>
    <row r="70" spans="14:21" ht="14.5" customHeight="1" x14ac:dyDescent="0.4">
      <c r="N70" s="149" t="str">
        <f ca="1">IF(cuentaN&lt;10,"",INDEX(cuentaLbl,10))</f>
        <v>Nómina de bodega</v>
      </c>
      <c r="O70" s="152" t="str">
        <f ca="1">IF(N70="","",IFERROR(INDEX(qPPTO[Centro de costo],MATCH(N70,qPPTO[Cuenta],0)),""))</f>
        <v>Operaciones</v>
      </c>
      <c r="P70" s="152" t="str">
        <f ca="1">IF(N70="","",IFERROR(INDEX(qPPTO[Driver],MATCH(N70,qPPTO[Cuenta],0)),""))</f>
        <v>Nómina</v>
      </c>
      <c r="Q70" s="143">
        <f ca="1">IF(N70="","",INDEX(cuentaReal,10))</f>
        <v>380000000</v>
      </c>
      <c r="R70" s="143">
        <f ca="1">IF(N70="","",INDEX(cuentaPpto,10))</f>
        <v>406600000</v>
      </c>
      <c r="S70" s="143">
        <f t="shared" ca="1" si="8"/>
        <v>26600000</v>
      </c>
      <c r="T70" s="144">
        <f t="shared" ca="1" si="9"/>
        <v>7.0000000000000007E-2</v>
      </c>
      <c r="U70" s="1">
        <f ca="1">IF(N70="",0,IF(IFERROR(INDEX(qPPTO[Tipo],MATCH(N70,qPPTO[Cuenta],0)),"")="Ingreso",1,0))</f>
        <v>0</v>
      </c>
    </row>
    <row r="71" spans="14:21" ht="14.5" customHeight="1" x14ac:dyDescent="0.4">
      <c r="N71" s="149" t="str">
        <f ca="1">IF(cuentaN&lt;11,"",INDEX(cuentaLbl,11))</f>
        <v>Honorarios profesionales</v>
      </c>
      <c r="O71" s="152" t="str">
        <f ca="1">IF(N71="","",IFERROR(INDEX(qPPTO[Centro de costo],MATCH(N71,qPPTO[Cuenta],0)),""))</f>
        <v>Administración</v>
      </c>
      <c r="P71" s="152" t="str">
        <f ca="1">IF(N71="","",IFERROR(INDEX(qPPTO[Driver],MATCH(N71,qPPTO[Cuenta],0)),""))</f>
        <v>IPC</v>
      </c>
      <c r="Q71" s="143">
        <f ca="1">IF(N71="","",INDEX(cuentaReal,11))</f>
        <v>120000000</v>
      </c>
      <c r="R71" s="143">
        <f ca="1">IF(N71="","",INDEX(cuentaPpto,11))</f>
        <v>93600000</v>
      </c>
      <c r="S71" s="143">
        <f t="shared" ca="1" si="8"/>
        <v>-26400000</v>
      </c>
      <c r="T71" s="144">
        <f t="shared" ca="1" si="9"/>
        <v>-0.22</v>
      </c>
      <c r="U71" s="1">
        <f ca="1">IF(N71="",0,IF(IFERROR(INDEX(qPPTO[Tipo],MATCH(N71,qPPTO[Cuenta],0)),"")="Ingreso",1,0))</f>
        <v>0</v>
      </c>
    </row>
    <row r="72" spans="14:21" ht="14.5" customHeight="1" x14ac:dyDescent="0.4">
      <c r="N72" s="149" t="str">
        <f ca="1">IF(cuentaN&lt;12,"",INDEX(cuentaLbl,12))</f>
        <v>Intereses financieros</v>
      </c>
      <c r="O72" s="152" t="str">
        <f ca="1">IF(N72="","",IFERROR(INDEX(qPPTO[Centro de costo],MATCH(N72,qPPTO[Cuenta],0)),""))</f>
        <v>Corporativo</v>
      </c>
      <c r="P72" s="152" t="str">
        <f ca="1">IF(N72="","",IFERROR(INDEX(qPPTO[Driver],MATCH(N72,qPPTO[Cuenta],0)),""))</f>
        <v>Financiero</v>
      </c>
      <c r="Q72" s="143">
        <f ca="1">IF(N72="","",INDEX(cuentaReal,12))</f>
        <v>260000000</v>
      </c>
      <c r="R72" s="143">
        <f ca="1">IF(N72="","",INDEX(cuentaPpto,12))</f>
        <v>234000000</v>
      </c>
      <c r="S72" s="143">
        <f t="shared" ca="1" si="8"/>
        <v>-26000000</v>
      </c>
      <c r="T72" s="144">
        <f t="shared" ca="1" si="9"/>
        <v>-0.1</v>
      </c>
      <c r="U72" s="1">
        <f ca="1">IF(N72="",0,IF(IFERROR(INDEX(qPPTO[Tipo],MATCH(N72,qPPTO[Cuenta],0)),"")="Ingreso",1,0))</f>
        <v>0</v>
      </c>
    </row>
    <row r="73" spans="14:21" ht="14.5" customHeight="1" x14ac:dyDescent="0.4">
      <c r="N73" s="149" t="str">
        <f ca="1">IF(cuentaN&lt;13,"",INDEX(cuentaLbl,13))</f>
        <v>Transporte y distribución</v>
      </c>
      <c r="O73" s="152" t="str">
        <f ca="1">IF(N73="","",IFERROR(INDEX(qPPTO[Centro de costo],MATCH(N73,qPPTO[Cuenta],0)),""))</f>
        <v>Operaciones</v>
      </c>
      <c r="P73" s="152" t="str">
        <f ca="1">IF(N73="","",IFERROR(INDEX(qPPTO[Driver],MATCH(N73,qPPTO[Cuenta],0)),""))</f>
        <v>Volumen</v>
      </c>
      <c r="Q73" s="143">
        <f ca="1">IF(N73="","",INDEX(cuentaReal,13))</f>
        <v>300000000</v>
      </c>
      <c r="R73" s="143">
        <f ca="1">IF(N73="","",INDEX(cuentaPpto,13))</f>
        <v>318000000</v>
      </c>
      <c r="S73" s="143">
        <f t="shared" ca="1" si="8"/>
        <v>18000000</v>
      </c>
      <c r="T73" s="144">
        <f t="shared" ca="1" si="9"/>
        <v>0.06</v>
      </c>
      <c r="U73" s="1">
        <f ca="1">IF(N73="",0,IF(IFERROR(INDEX(qPPTO[Tipo],MATCH(N73,qPPTO[Cuenta],0)),"")="Ingreso",1,0))</f>
        <v>0</v>
      </c>
    </row>
    <row r="74" spans="14:21" ht="14.5" customHeight="1" x14ac:dyDescent="0.4">
      <c r="N74" s="149" t="str">
        <f ca="1">IF(cuentaN&lt;14,"",INDEX(cuentaLbl,14))</f>
        <v>Mermas y averías</v>
      </c>
      <c r="O74" s="152" t="str">
        <f ca="1">IF(N74="","",IFERROR(INDEX(qPPTO[Centro de costo],MATCH(N74,qPPTO[Cuenta],0)),""))</f>
        <v>Operaciones</v>
      </c>
      <c r="P74" s="152" t="str">
        <f ca="1">IF(N74="","",IFERROR(INDEX(qPPTO[Driver],MATCH(N74,qPPTO[Cuenta],0)),""))</f>
        <v>Costo variable</v>
      </c>
      <c r="Q74" s="143">
        <f ca="1">IF(N74="","",INDEX(cuentaReal,14))</f>
        <v>150000000</v>
      </c>
      <c r="R74" s="143">
        <f ca="1">IF(N74="","",INDEX(cuentaPpto,14))</f>
        <v>167745000</v>
      </c>
      <c r="S74" s="143">
        <f t="shared" ca="1" si="8"/>
        <v>17745000</v>
      </c>
      <c r="T74" s="144">
        <f t="shared" ca="1" si="9"/>
        <v>0.1183</v>
      </c>
      <c r="U74" s="1">
        <f ca="1">IF(N74="",0,IF(IFERROR(INDEX(qPPTO[Tipo],MATCH(N74,qPPTO[Cuenta],0)),"")="Ingreso",1,0))</f>
        <v>0</v>
      </c>
    </row>
    <row r="75" spans="14:21" ht="14.5" customHeight="1" x14ac:dyDescent="0.4">
      <c r="N75" s="150" t="str">
        <f ca="1">IF(cuentaN&lt;15,"",INDEX(cuentaLbl,15))</f>
        <v>Arrendamiento de bodega</v>
      </c>
      <c r="O75" s="153" t="str">
        <f ca="1">IF(N75="","",IFERROR(INDEX(qPPTO[Centro de costo],MATCH(N75,qPPTO[Cuenta],0)),""))</f>
        <v>Operaciones</v>
      </c>
      <c r="P75" s="153" t="str">
        <f ca="1">IF(N75="","",IFERROR(INDEX(qPPTO[Driver],MATCH(N75,qPPTO[Cuenta],0)),""))</f>
        <v>IPC</v>
      </c>
      <c r="Q75" s="145">
        <f ca="1">IF(N75="","",INDEX(cuentaReal,15))</f>
        <v>240000000</v>
      </c>
      <c r="R75" s="145">
        <f ca="1">IF(N75="","",INDEX(cuentaPpto,15))</f>
        <v>249600000</v>
      </c>
      <c r="S75" s="145">
        <f t="shared" ca="1" si="8"/>
        <v>9600000</v>
      </c>
      <c r="T75" s="146">
        <f t="shared" ca="1" si="9"/>
        <v>0.04</v>
      </c>
      <c r="U75" s="1">
        <f ca="1">IF(N75="",0,IF(IFERROR(INDEX(qPPTO[Tipo],MATCH(N75,qPPTO[Cuenta],0)),"")="Ingreso",1,0))</f>
        <v>0</v>
      </c>
    </row>
  </sheetData>
  <conditionalFormatting sqref="S61:S75">
    <cfRule type="expression" dxfId="19" priority="17" stopIfTrue="1">
      <formula>OR(AND(U61=1,S61&lt;0),AND(U61=0,T61&gt;$BY$60))</formula>
    </cfRule>
    <cfRule type="expression" dxfId="18" priority="18" stopIfTrue="1">
      <formula>OR(AND(U61=1,S61&gt;=0),AND(U61=0,T61&lt;=$BY$60))</formula>
    </cfRule>
    <cfRule type="dataBar" priority="77">
      <dataBar>
        <cfvo type="min"/>
        <cfvo type="max"/>
        <color rgb="FFC6BB98"/>
      </dataBar>
      <extLst>
        <ext xmlns:x14="http://schemas.microsoft.com/office/spreadsheetml/2009/9/main" uri="{B025F937-C7B1-47D3-B67F-A62EFF666E3E}">
          <x14:id>{4F316946-94BE-4DA4-8A89-64B74D2B7878}</x14:id>
        </ext>
      </extLst>
    </cfRule>
  </conditionalFormatting>
  <conditionalFormatting sqref="T61:T75">
    <cfRule type="expression" dxfId="17" priority="19" stopIfTrue="1">
      <formula>OR(AND(U61=1,S61&lt;0),AND(U61=0,T61&gt;$BY$60))</formula>
    </cfRule>
    <cfRule type="expression" dxfId="16" priority="20" stopIfTrue="1">
      <formula>OR(AND(U61=1,S61&gt;=0),AND(U61=0,T61&lt;=$BY$60))</formula>
    </cfRule>
  </conditionalFormatting>
  <conditionalFormatting sqref="AD42">
    <cfRule type="expression" dxfId="15" priority="1" stopIfTrue="1">
      <formula>AD42&lt;pMetaMargenBruto</formula>
    </cfRule>
    <cfRule type="expression" dxfId="14" priority="2" stopIfTrue="1">
      <formula>AD42&gt;=pMetaMargenBruto</formula>
    </cfRule>
  </conditionalFormatting>
  <conditionalFormatting sqref="AD43">
    <cfRule type="expression" dxfId="13" priority="3" stopIfTrue="1">
      <formula>AD42&lt;pMetaMargenBruto</formula>
    </cfRule>
    <cfRule type="expression" dxfId="12" priority="4" stopIfTrue="1">
      <formula>AD42&gt;=pMetaMargenBruto</formula>
    </cfRule>
  </conditionalFormatting>
  <conditionalFormatting sqref="AE42">
    <cfRule type="expression" dxfId="11" priority="5" stopIfTrue="1">
      <formula>AE42&lt;pMetaMargenEbitda</formula>
    </cfRule>
    <cfRule type="expression" dxfId="10" priority="6" stopIfTrue="1">
      <formula>AE42&gt;=pMetaMargenEbitda</formula>
    </cfRule>
  </conditionalFormatting>
  <conditionalFormatting sqref="AE43">
    <cfRule type="expression" dxfId="9" priority="7" stopIfTrue="1">
      <formula>AE42&lt;pMetaMargenEbitda</formula>
    </cfRule>
    <cfRule type="expression" dxfId="8" priority="8" stopIfTrue="1">
      <formula>AE42&gt;=pMetaMargenEbitda</formula>
    </cfRule>
  </conditionalFormatting>
  <conditionalFormatting sqref="AF42">
    <cfRule type="expression" dxfId="7" priority="9" stopIfTrue="1">
      <formula>AF42&lt;pMetaMargenNeto</formula>
    </cfRule>
    <cfRule type="expression" dxfId="6" priority="10" stopIfTrue="1">
      <formula>AF42&gt;=pMetaMargenNeto</formula>
    </cfRule>
  </conditionalFormatting>
  <conditionalFormatting sqref="AF43">
    <cfRule type="expression" dxfId="5" priority="11" stopIfTrue="1">
      <formula>AF42&lt;pMetaMargenNeto</formula>
    </cfRule>
    <cfRule type="expression" dxfId="4" priority="12" stopIfTrue="1">
      <formula>AF42&gt;=pMetaMargenNeto</formula>
    </cfRule>
  </conditionalFormatting>
  <conditionalFormatting sqref="AG42">
    <cfRule type="expression" dxfId="3" priority="13" stopIfTrue="1">
      <formula>AG42&gt;pMetaGastosIngresos</formula>
    </cfRule>
    <cfRule type="expression" dxfId="2" priority="14" stopIfTrue="1">
      <formula>AG42&lt;=pMetaGastosIngresos</formula>
    </cfRule>
  </conditionalFormatting>
  <conditionalFormatting sqref="AG43">
    <cfRule type="expression" dxfId="1" priority="15" stopIfTrue="1">
      <formula>AG42&gt;pMetaGastosIngresos</formula>
    </cfRule>
    <cfRule type="expression" dxfId="0" priority="16" stopIfTrue="1">
      <formula>AG42&lt;=pMetaGastosIngresos</formula>
    </cfRule>
  </conditionalFormatting>
  <pageMargins left="0.7" right="0.7" top="0.75" bottom="0.75" header="0.3" footer="0.3"/>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4F316946-94BE-4DA4-8A89-64B74D2B7878}">
            <x14:dataBar minLength="0" maxLength="100" gradient="0" negativeBarColorSameAsPositive="1" axisPosition="none">
              <x14:cfvo type="min"/>
              <x14:cfvo type="max"/>
            </x14:dataBar>
          </x14:cfRule>
          <xm:sqref>S61:S75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CF503-364D-4107-AAA5-3C2365E68BBD}">
  <sheetPr codeName="Hoja7">
    <tabColor rgb="FF9C9280"/>
  </sheetPr>
  <dimension ref="A1:M277"/>
  <sheetViews>
    <sheetView showGridLines="0" zoomScaleNormal="100" workbookViewId="0"/>
  </sheetViews>
  <sheetFormatPr baseColWidth="10" defaultRowHeight="14" x14ac:dyDescent="0.4"/>
  <cols>
    <col min="1" max="1" width="15.81640625" style="124" customWidth="1"/>
    <col min="2" max="6" width="10.90625" style="124"/>
    <col min="7" max="8" width="11" style="124" bestFit="1" customWidth="1"/>
    <col min="9" max="9" width="13.26953125" style="124" customWidth="1"/>
    <col min="10" max="12" width="11" style="124" bestFit="1" customWidth="1"/>
    <col min="13" max="13" width="11.7265625" style="124" bestFit="1" customWidth="1"/>
    <col min="14" max="16384" width="10.90625" style="124"/>
  </cols>
  <sheetData>
    <row r="1" spans="1:13" x14ac:dyDescent="0.4">
      <c r="A1" s="124" t="s">
        <v>16</v>
      </c>
      <c r="B1" s="124" t="s">
        <v>14</v>
      </c>
      <c r="C1" s="124" t="s">
        <v>13</v>
      </c>
      <c r="D1" s="124" t="s">
        <v>15</v>
      </c>
      <c r="E1" s="124" t="s">
        <v>17</v>
      </c>
      <c r="F1" s="124" t="s">
        <v>153</v>
      </c>
      <c r="G1" s="124" t="s">
        <v>154</v>
      </c>
      <c r="H1" s="124" t="s">
        <v>155</v>
      </c>
      <c r="I1" s="124" t="s">
        <v>156</v>
      </c>
      <c r="J1" s="124" t="s">
        <v>157</v>
      </c>
      <c r="K1" s="124" t="s">
        <v>158</v>
      </c>
      <c r="L1" s="124" t="s">
        <v>159</v>
      </c>
      <c r="M1" s="124" t="s">
        <v>160</v>
      </c>
    </row>
    <row r="2" spans="1:13" x14ac:dyDescent="0.4">
      <c r="A2" s="124" t="str">
        <f>'PPTO 2027'!$E$14</f>
        <v>Comercial</v>
      </c>
      <c r="B2" s="124" t="str">
        <f>'PPTO 2027'!$C$14</f>
        <v>Ingresos operacionales</v>
      </c>
      <c r="C2" s="124" t="str">
        <f>'PPTO 2027'!$B$14</f>
        <v>Venta de mercancía nacional</v>
      </c>
      <c r="D2" s="124" t="str">
        <f>'PPTO 2027'!$D$14</f>
        <v>Ingreso</v>
      </c>
      <c r="E2" s="124" t="str">
        <f>'PPTO 2027'!$F$14</f>
        <v>Ventas</v>
      </c>
      <c r="F2" s="124" t="str">
        <f>CHOOSE(1,"Ene","Feb","Mar","Abr","May","Jun","Jul","Ago","Sep","Oct","Nov","Dic")</f>
        <v>Ene</v>
      </c>
      <c r="G2" s="124">
        <v>1</v>
      </c>
      <c r="H2" s="124">
        <f>'PPTO 2027'!$I$14</f>
        <v>640000000</v>
      </c>
      <c r="I2" s="124">
        <f>'PPTO 2027'!$V$14</f>
        <v>712320000</v>
      </c>
      <c r="J2" s="124">
        <f t="shared" ref="J2:J65" si="0">I2-H2</f>
        <v>72320000</v>
      </c>
      <c r="K2" s="124">
        <f t="shared" ref="K2:K65" si="1">ABS(J2)</f>
        <v>72320000</v>
      </c>
      <c r="L2" s="124">
        <f t="shared" ref="L2:L65" si="2">IF(H2=0,"",J2/H2)</f>
        <v>0.113</v>
      </c>
      <c r="M2" s="124">
        <f>IFERROR(INDEX(tReal27[[Ene]:[Dic]],MATCH(C2,tReal27[Cuenta],0),1),0)</f>
        <v>713046000</v>
      </c>
    </row>
    <row r="3" spans="1:13" x14ac:dyDescent="0.4">
      <c r="A3" s="124" t="str">
        <f>'PPTO 2027'!$E$14</f>
        <v>Comercial</v>
      </c>
      <c r="B3" s="124" t="str">
        <f>'PPTO 2027'!$C$14</f>
        <v>Ingresos operacionales</v>
      </c>
      <c r="C3" s="124" t="str">
        <f>'PPTO 2027'!$B$14</f>
        <v>Venta de mercancía nacional</v>
      </c>
      <c r="D3" s="124" t="str">
        <f>'PPTO 2027'!$D$14</f>
        <v>Ingreso</v>
      </c>
      <c r="E3" s="124" t="str">
        <f>'PPTO 2027'!$F$14</f>
        <v>Ventas</v>
      </c>
      <c r="F3" s="124" t="str">
        <f>CHOOSE(2,"Ene","Feb","Mar","Abr","May","Jun","Jul","Ago","Sep","Oct","Nov","Dic")</f>
        <v>Feb</v>
      </c>
      <c r="G3" s="124">
        <v>2</v>
      </c>
      <c r="H3" s="124">
        <f>'PPTO 2027'!$J$14</f>
        <v>680000000</v>
      </c>
      <c r="I3" s="124">
        <f>'PPTO 2027'!$W$14</f>
        <v>756840000</v>
      </c>
      <c r="J3" s="124">
        <f t="shared" si="0"/>
        <v>76840000</v>
      </c>
      <c r="K3" s="124">
        <f t="shared" si="1"/>
        <v>76840000</v>
      </c>
      <c r="L3" s="124">
        <f t="shared" si="2"/>
        <v>0.113</v>
      </c>
      <c r="M3" s="124">
        <f>IFERROR(INDEX(tReal27[[Ene]:[Dic]],MATCH(C3,tReal27[Cuenta],0),2),0)</f>
        <v>755737000</v>
      </c>
    </row>
    <row r="4" spans="1:13" x14ac:dyDescent="0.4">
      <c r="A4" s="124" t="str">
        <f>'PPTO 2027'!$E$14</f>
        <v>Comercial</v>
      </c>
      <c r="B4" s="124" t="str">
        <f>'PPTO 2027'!$C$14</f>
        <v>Ingresos operacionales</v>
      </c>
      <c r="C4" s="124" t="str">
        <f>'PPTO 2027'!$B$14</f>
        <v>Venta de mercancía nacional</v>
      </c>
      <c r="D4" s="124" t="str">
        <f>'PPTO 2027'!$D$14</f>
        <v>Ingreso</v>
      </c>
      <c r="E4" s="124" t="str">
        <f>'PPTO 2027'!$F$14</f>
        <v>Ventas</v>
      </c>
      <c r="F4" s="124" t="str">
        <f>CHOOSE(3,"Ene","Feb","Mar","Abr","May","Jun","Jul","Ago","Sep","Oct","Nov","Dic")</f>
        <v>Mar</v>
      </c>
      <c r="G4" s="124">
        <v>3</v>
      </c>
      <c r="H4" s="124">
        <f>'PPTO 2027'!$K$14</f>
        <v>760000000</v>
      </c>
      <c r="I4" s="124">
        <f>'PPTO 2027'!$X$14</f>
        <v>845880000</v>
      </c>
      <c r="J4" s="124">
        <f t="shared" si="0"/>
        <v>85880000</v>
      </c>
      <c r="K4" s="124">
        <f t="shared" si="1"/>
        <v>85880000</v>
      </c>
      <c r="L4" s="124">
        <f t="shared" si="2"/>
        <v>0.113</v>
      </c>
      <c r="M4" s="124">
        <f>IFERROR(INDEX(tReal27[[Ene]:[Dic]],MATCH(C4,tReal27[Cuenta],0),3),0)</f>
        <v>846885000</v>
      </c>
    </row>
    <row r="5" spans="1:13" x14ac:dyDescent="0.4">
      <c r="A5" s="124" t="str">
        <f>'PPTO 2027'!$E$14</f>
        <v>Comercial</v>
      </c>
      <c r="B5" s="124" t="str">
        <f>'PPTO 2027'!$C$14</f>
        <v>Ingresos operacionales</v>
      </c>
      <c r="C5" s="124" t="str">
        <f>'PPTO 2027'!$B$14</f>
        <v>Venta de mercancía nacional</v>
      </c>
      <c r="D5" s="124" t="str">
        <f>'PPTO 2027'!$D$14</f>
        <v>Ingreso</v>
      </c>
      <c r="E5" s="124" t="str">
        <f>'PPTO 2027'!$F$14</f>
        <v>Ventas</v>
      </c>
      <c r="F5" s="124" t="str">
        <f>CHOOSE(4,"Ene","Feb","Mar","Abr","May","Jun","Jul","Ago","Sep","Oct","Nov","Dic")</f>
        <v>Abr</v>
      </c>
      <c r="G5" s="124">
        <v>4</v>
      </c>
      <c r="H5" s="124">
        <f>'PPTO 2027'!$L$14</f>
        <v>760000000</v>
      </c>
      <c r="I5" s="124">
        <f>'PPTO 2027'!$Y$14</f>
        <v>845880000</v>
      </c>
      <c r="J5" s="124">
        <f t="shared" si="0"/>
        <v>85880000</v>
      </c>
      <c r="K5" s="124">
        <f t="shared" si="1"/>
        <v>85880000</v>
      </c>
      <c r="L5" s="124">
        <f t="shared" si="2"/>
        <v>0.113</v>
      </c>
      <c r="M5" s="124">
        <f>IFERROR(INDEX(tReal27[[Ene]:[Dic]],MATCH(C5,tReal27[Cuenta],0),4),0)</f>
        <v>836683000</v>
      </c>
    </row>
    <row r="6" spans="1:13" x14ac:dyDescent="0.4">
      <c r="A6" s="124" t="str">
        <f>'PPTO 2027'!$E$14</f>
        <v>Comercial</v>
      </c>
      <c r="B6" s="124" t="str">
        <f>'PPTO 2027'!$C$14</f>
        <v>Ingresos operacionales</v>
      </c>
      <c r="C6" s="124" t="str">
        <f>'PPTO 2027'!$B$14</f>
        <v>Venta de mercancía nacional</v>
      </c>
      <c r="D6" s="124" t="str">
        <f>'PPTO 2027'!$D$14</f>
        <v>Ingreso</v>
      </c>
      <c r="E6" s="124" t="str">
        <f>'PPTO 2027'!$F$14</f>
        <v>Ventas</v>
      </c>
      <c r="F6" s="124" t="str">
        <f>CHOOSE(5,"Ene","Feb","Mar","Abr","May","Jun","Jul","Ago","Sep","Oct","Nov","Dic")</f>
        <v>May</v>
      </c>
      <c r="G6" s="124">
        <v>5</v>
      </c>
      <c r="H6" s="124">
        <f>'PPTO 2027'!$M$14</f>
        <v>800000000</v>
      </c>
      <c r="I6" s="124">
        <f>'PPTO 2027'!$Z$14</f>
        <v>890400000</v>
      </c>
      <c r="J6" s="124">
        <f t="shared" si="0"/>
        <v>90400000</v>
      </c>
      <c r="K6" s="124">
        <f t="shared" si="1"/>
        <v>90400000</v>
      </c>
      <c r="L6" s="124">
        <f t="shared" si="2"/>
        <v>0.113</v>
      </c>
      <c r="M6" s="124">
        <f>IFERROR(INDEX(tReal27[[Ene]:[Dic]],MATCH(C6,tReal27[Cuenta],0),5),0)</f>
        <v>855672000</v>
      </c>
    </row>
    <row r="7" spans="1:13" x14ac:dyDescent="0.4">
      <c r="A7" s="124" t="str">
        <f>'PPTO 2027'!$E$14</f>
        <v>Comercial</v>
      </c>
      <c r="B7" s="124" t="str">
        <f>'PPTO 2027'!$C$14</f>
        <v>Ingresos operacionales</v>
      </c>
      <c r="C7" s="124" t="str">
        <f>'PPTO 2027'!$B$14</f>
        <v>Venta de mercancía nacional</v>
      </c>
      <c r="D7" s="124" t="str">
        <f>'PPTO 2027'!$D$14</f>
        <v>Ingreso</v>
      </c>
      <c r="E7" s="124" t="str">
        <f>'PPTO 2027'!$F$14</f>
        <v>Ventas</v>
      </c>
      <c r="F7" s="124" t="str">
        <f>CHOOSE(6,"Ene","Feb","Mar","Abr","May","Jun","Jul","Ago","Sep","Oct","Nov","Dic")</f>
        <v>Jun</v>
      </c>
      <c r="G7" s="124">
        <v>6</v>
      </c>
      <c r="H7" s="124">
        <f>'PPTO 2027'!$N$14</f>
        <v>800000000</v>
      </c>
      <c r="I7" s="124">
        <f>'PPTO 2027'!$AA$14</f>
        <v>890400000</v>
      </c>
      <c r="J7" s="124">
        <f t="shared" si="0"/>
        <v>90400000</v>
      </c>
      <c r="K7" s="124">
        <f t="shared" si="1"/>
        <v>90400000</v>
      </c>
      <c r="L7" s="124">
        <f t="shared" si="2"/>
        <v>0.113</v>
      </c>
      <c r="M7" s="124">
        <f>IFERROR(INDEX(tReal27[[Ene]:[Dic]],MATCH(C7,tReal27[Cuenta],0),6),0)</f>
        <v>895817000</v>
      </c>
    </row>
    <row r="8" spans="1:13" x14ac:dyDescent="0.4">
      <c r="A8" s="124" t="str">
        <f>'PPTO 2027'!$E$14</f>
        <v>Comercial</v>
      </c>
      <c r="B8" s="124" t="str">
        <f>'PPTO 2027'!$C$14</f>
        <v>Ingresos operacionales</v>
      </c>
      <c r="C8" s="124" t="str">
        <f>'PPTO 2027'!$B$14</f>
        <v>Venta de mercancía nacional</v>
      </c>
      <c r="D8" s="124" t="str">
        <f>'PPTO 2027'!$D$14</f>
        <v>Ingreso</v>
      </c>
      <c r="E8" s="124" t="str">
        <f>'PPTO 2027'!$F$14</f>
        <v>Ventas</v>
      </c>
      <c r="F8" s="124" t="str">
        <f>CHOOSE(7,"Ene","Feb","Mar","Abr","May","Jun","Jul","Ago","Sep","Oct","Nov","Dic")</f>
        <v>Jul</v>
      </c>
      <c r="G8" s="124">
        <v>7</v>
      </c>
      <c r="H8" s="124">
        <f>'PPTO 2027'!$O$14</f>
        <v>800000000</v>
      </c>
      <c r="I8" s="124">
        <f>'PPTO 2027'!$AB$14</f>
        <v>890400000</v>
      </c>
      <c r="J8" s="124">
        <f t="shared" si="0"/>
        <v>90400000</v>
      </c>
      <c r="K8" s="124">
        <f t="shared" si="1"/>
        <v>90400000</v>
      </c>
      <c r="L8" s="124">
        <f t="shared" si="2"/>
        <v>0.113</v>
      </c>
      <c r="M8" s="124">
        <f>IFERROR(INDEX(tReal27[[Ene]:[Dic]],MATCH(C8,tReal27[Cuenta],0),7),0)</f>
        <v>883130000</v>
      </c>
    </row>
    <row r="9" spans="1:13" x14ac:dyDescent="0.4">
      <c r="A9" s="124" t="str">
        <f>'PPTO 2027'!$E$14</f>
        <v>Comercial</v>
      </c>
      <c r="B9" s="124" t="str">
        <f>'PPTO 2027'!$C$14</f>
        <v>Ingresos operacionales</v>
      </c>
      <c r="C9" s="124" t="str">
        <f>'PPTO 2027'!$B$14</f>
        <v>Venta de mercancía nacional</v>
      </c>
      <c r="D9" s="124" t="str">
        <f>'PPTO 2027'!$D$14</f>
        <v>Ingreso</v>
      </c>
      <c r="E9" s="124" t="str">
        <f>'PPTO 2027'!$F$14</f>
        <v>Ventas</v>
      </c>
      <c r="F9" s="124" t="str">
        <f>CHOOSE(8,"Ene","Feb","Mar","Abr","May","Jun","Jul","Ago","Sep","Oct","Nov","Dic")</f>
        <v>Ago</v>
      </c>
      <c r="G9" s="124">
        <v>8</v>
      </c>
      <c r="H9" s="124">
        <f>'PPTO 2027'!$P$14</f>
        <v>840000000</v>
      </c>
      <c r="I9" s="124">
        <f>'PPTO 2027'!$AC$14</f>
        <v>934920000</v>
      </c>
      <c r="J9" s="124">
        <f t="shared" si="0"/>
        <v>94920000</v>
      </c>
      <c r="K9" s="124">
        <f t="shared" si="1"/>
        <v>94920000</v>
      </c>
      <c r="L9" s="124">
        <f t="shared" si="2"/>
        <v>0.113</v>
      </c>
      <c r="M9" s="124">
        <f>IFERROR(INDEX(tReal27[[Ene]:[Dic]],MATCH(C9,tReal27[Cuenta],0),8),0)</f>
        <v>931777000</v>
      </c>
    </row>
    <row r="10" spans="1:13" x14ac:dyDescent="0.4">
      <c r="A10" s="124" t="str">
        <f>'PPTO 2027'!$E$14</f>
        <v>Comercial</v>
      </c>
      <c r="B10" s="124" t="str">
        <f>'PPTO 2027'!$C$14</f>
        <v>Ingresos operacionales</v>
      </c>
      <c r="C10" s="124" t="str">
        <f>'PPTO 2027'!$B$14</f>
        <v>Venta de mercancía nacional</v>
      </c>
      <c r="D10" s="124" t="str">
        <f>'PPTO 2027'!$D$14</f>
        <v>Ingreso</v>
      </c>
      <c r="E10" s="124" t="str">
        <f>'PPTO 2027'!$F$14</f>
        <v>Ventas</v>
      </c>
      <c r="F10" s="124" t="str">
        <f>CHOOSE(9,"Ene","Feb","Mar","Abr","May","Jun","Jul","Ago","Sep","Oct","Nov","Dic")</f>
        <v>Sep</v>
      </c>
      <c r="G10" s="124">
        <v>9</v>
      </c>
      <c r="H10" s="124">
        <f>'PPTO 2027'!$Q$14</f>
        <v>800000000</v>
      </c>
      <c r="I10" s="124">
        <f>'PPTO 2027'!$AD$14</f>
        <v>890400000</v>
      </c>
      <c r="J10" s="124">
        <f t="shared" si="0"/>
        <v>90400000</v>
      </c>
      <c r="K10" s="124">
        <f t="shared" si="1"/>
        <v>90400000</v>
      </c>
      <c r="L10" s="124">
        <f t="shared" si="2"/>
        <v>0.113</v>
      </c>
      <c r="M10" s="124">
        <f>IFERROR(INDEX(tReal27[[Ene]:[Dic]],MATCH(C10,tReal27[Cuenta],0),9),0)</f>
        <v>870837000</v>
      </c>
    </row>
    <row r="11" spans="1:13" x14ac:dyDescent="0.4">
      <c r="A11" s="124" t="str">
        <f>'PPTO 2027'!$E$14</f>
        <v>Comercial</v>
      </c>
      <c r="B11" s="124" t="str">
        <f>'PPTO 2027'!$C$14</f>
        <v>Ingresos operacionales</v>
      </c>
      <c r="C11" s="124" t="str">
        <f>'PPTO 2027'!$B$14</f>
        <v>Venta de mercancía nacional</v>
      </c>
      <c r="D11" s="124" t="str">
        <f>'PPTO 2027'!$D$14</f>
        <v>Ingreso</v>
      </c>
      <c r="E11" s="124" t="str">
        <f>'PPTO 2027'!$F$14</f>
        <v>Ventas</v>
      </c>
      <c r="F11" s="124" t="str">
        <f>CHOOSE(10,"Ene","Feb","Mar","Abr","May","Jun","Jul","Ago","Sep","Oct","Nov","Dic")</f>
        <v>Oct</v>
      </c>
      <c r="G11" s="124">
        <v>10</v>
      </c>
      <c r="H11" s="124">
        <f>'PPTO 2027'!$R$14</f>
        <v>840000000</v>
      </c>
      <c r="I11" s="124">
        <f>'PPTO 2027'!$AE$14</f>
        <v>934920000</v>
      </c>
      <c r="J11" s="124">
        <f t="shared" si="0"/>
        <v>94920000</v>
      </c>
      <c r="K11" s="124">
        <f t="shared" si="1"/>
        <v>94920000</v>
      </c>
      <c r="L11" s="124">
        <f t="shared" si="2"/>
        <v>0.113</v>
      </c>
      <c r="M11" s="124">
        <f>IFERROR(INDEX(tReal27[[Ene]:[Dic]],MATCH(C11,tReal27[Cuenta],0),10),0)</f>
        <v>917337000</v>
      </c>
    </row>
    <row r="12" spans="1:13" x14ac:dyDescent="0.4">
      <c r="A12" s="124" t="str">
        <f>'PPTO 2027'!$E$14</f>
        <v>Comercial</v>
      </c>
      <c r="B12" s="124" t="str">
        <f>'PPTO 2027'!$C$14</f>
        <v>Ingresos operacionales</v>
      </c>
      <c r="C12" s="124" t="str">
        <f>'PPTO 2027'!$B$14</f>
        <v>Venta de mercancía nacional</v>
      </c>
      <c r="D12" s="124" t="str">
        <f>'PPTO 2027'!$D$14</f>
        <v>Ingreso</v>
      </c>
      <c r="E12" s="124" t="str">
        <f>'PPTO 2027'!$F$14</f>
        <v>Ventas</v>
      </c>
      <c r="F12" s="124" t="str">
        <f>CHOOSE(11,"Ene","Feb","Mar","Abr","May","Jun","Jul","Ago","Sep","Oct","Nov","Dic")</f>
        <v>Nov</v>
      </c>
      <c r="G12" s="124">
        <v>11</v>
      </c>
      <c r="H12" s="124">
        <f>'PPTO 2027'!$S$14</f>
        <v>920000000</v>
      </c>
      <c r="I12" s="124">
        <f>'PPTO 2027'!$AF$14</f>
        <v>1023960000</v>
      </c>
      <c r="J12" s="124">
        <f t="shared" si="0"/>
        <v>103960000</v>
      </c>
      <c r="K12" s="124">
        <f t="shared" si="1"/>
        <v>103960000</v>
      </c>
      <c r="L12" s="124">
        <f t="shared" si="2"/>
        <v>0.113</v>
      </c>
      <c r="M12" s="124">
        <f>IFERROR(INDEX(tReal27[[Ene]:[Dic]],MATCH(C12,tReal27[Cuenta],0),11),0)</f>
        <v>1009300000</v>
      </c>
    </row>
    <row r="13" spans="1:13" x14ac:dyDescent="0.4">
      <c r="A13" s="124" t="str">
        <f>'PPTO 2027'!$E$14</f>
        <v>Comercial</v>
      </c>
      <c r="B13" s="124" t="str">
        <f>'PPTO 2027'!$C$14</f>
        <v>Ingresos operacionales</v>
      </c>
      <c r="C13" s="124" t="str">
        <f>'PPTO 2027'!$B$14</f>
        <v>Venta de mercancía nacional</v>
      </c>
      <c r="D13" s="124" t="str">
        <f>'PPTO 2027'!$D$14</f>
        <v>Ingreso</v>
      </c>
      <c r="E13" s="124" t="str">
        <f>'PPTO 2027'!$F$14</f>
        <v>Ventas</v>
      </c>
      <c r="F13" s="124" t="str">
        <f>CHOOSE(12,"Ene","Feb","Mar","Abr","May","Jun","Jul","Ago","Sep","Oct","Nov","Dic")</f>
        <v>Dic</v>
      </c>
      <c r="G13" s="124">
        <v>12</v>
      </c>
      <c r="H13" s="124">
        <f>'PPTO 2027'!$T$14</f>
        <v>960000000</v>
      </c>
      <c r="I13" s="124">
        <f>'PPTO 2027'!$AG$14</f>
        <v>1068480000</v>
      </c>
      <c r="J13" s="124">
        <f t="shared" si="0"/>
        <v>108480000</v>
      </c>
      <c r="K13" s="124">
        <f t="shared" si="1"/>
        <v>108480000</v>
      </c>
      <c r="L13" s="124">
        <f t="shared" si="2"/>
        <v>0.113</v>
      </c>
      <c r="M13" s="124">
        <f>IFERROR(INDEX(tReal27[[Ene]:[Dic]],MATCH(C13,tReal27[Cuenta],0),12),0)</f>
        <v>1049757000</v>
      </c>
    </row>
    <row r="14" spans="1:13" x14ac:dyDescent="0.4">
      <c r="A14" s="124" t="str">
        <f>'PPTO 2027'!$E$15</f>
        <v>Comercial</v>
      </c>
      <c r="B14" s="124" t="str">
        <f>'PPTO 2027'!$C$15</f>
        <v>Ingresos operacionales</v>
      </c>
      <c r="C14" s="124" t="str">
        <f>'PPTO 2027'!$B$15</f>
        <v>Ventas canal digital</v>
      </c>
      <c r="D14" s="124" t="str">
        <f>'PPTO 2027'!$D$15</f>
        <v>Ingreso</v>
      </c>
      <c r="E14" s="124" t="str">
        <f>'PPTO 2027'!$F$15</f>
        <v>Ventas</v>
      </c>
      <c r="F14" s="124" t="str">
        <f>CHOOSE(1,"Ene","Feb","Mar","Abr","May","Jun","Jul","Ago","Sep","Oct","Nov","Dic")</f>
        <v>Ene</v>
      </c>
      <c r="G14" s="124">
        <v>1</v>
      </c>
      <c r="H14" s="124">
        <f>'PPTO 2027'!$I$15</f>
        <v>120000000</v>
      </c>
      <c r="I14" s="124">
        <f>'PPTO 2027'!$V$15</f>
        <v>153600000</v>
      </c>
      <c r="J14" s="124">
        <f t="shared" si="0"/>
        <v>33600000</v>
      </c>
      <c r="K14" s="124">
        <f t="shared" si="1"/>
        <v>33600000</v>
      </c>
      <c r="L14" s="124">
        <f t="shared" si="2"/>
        <v>0.28000000000000003</v>
      </c>
      <c r="M14" s="124">
        <f>IFERROR(INDEX(tReal27[[Ene]:[Dic]],MATCH(C14,tReal27[Cuenta],0),1),0)</f>
        <v>144875000</v>
      </c>
    </row>
    <row r="15" spans="1:13" x14ac:dyDescent="0.4">
      <c r="A15" s="124" t="str">
        <f>'PPTO 2027'!$E$15</f>
        <v>Comercial</v>
      </c>
      <c r="B15" s="124" t="str">
        <f>'PPTO 2027'!$C$15</f>
        <v>Ingresos operacionales</v>
      </c>
      <c r="C15" s="124" t="str">
        <f>'PPTO 2027'!$B$15</f>
        <v>Ventas canal digital</v>
      </c>
      <c r="D15" s="124" t="str">
        <f>'PPTO 2027'!$D$15</f>
        <v>Ingreso</v>
      </c>
      <c r="E15" s="124" t="str">
        <f>'PPTO 2027'!$F$15</f>
        <v>Ventas</v>
      </c>
      <c r="F15" s="124" t="str">
        <f>CHOOSE(2,"Ene","Feb","Mar","Abr","May","Jun","Jul","Ago","Sep","Oct","Nov","Dic")</f>
        <v>Feb</v>
      </c>
      <c r="G15" s="124">
        <v>2</v>
      </c>
      <c r="H15" s="124">
        <f>'PPTO 2027'!$J$15</f>
        <v>127500000</v>
      </c>
      <c r="I15" s="124">
        <f>'PPTO 2027'!$W$15</f>
        <v>163200000</v>
      </c>
      <c r="J15" s="124">
        <f t="shared" si="0"/>
        <v>35700000</v>
      </c>
      <c r="K15" s="124">
        <f t="shared" si="1"/>
        <v>35700000</v>
      </c>
      <c r="L15" s="124">
        <f t="shared" si="2"/>
        <v>0.28000000000000003</v>
      </c>
      <c r="M15" s="124">
        <f>IFERROR(INDEX(tReal27[[Ene]:[Dic]],MATCH(C15,tReal27[Cuenta],0),2),0)</f>
        <v>153285000</v>
      </c>
    </row>
    <row r="16" spans="1:13" x14ac:dyDescent="0.4">
      <c r="A16" s="124" t="str">
        <f>'PPTO 2027'!$E$15</f>
        <v>Comercial</v>
      </c>
      <c r="B16" s="124" t="str">
        <f>'PPTO 2027'!$C$15</f>
        <v>Ingresos operacionales</v>
      </c>
      <c r="C16" s="124" t="str">
        <f>'PPTO 2027'!$B$15</f>
        <v>Ventas canal digital</v>
      </c>
      <c r="D16" s="124" t="str">
        <f>'PPTO 2027'!$D$15</f>
        <v>Ingreso</v>
      </c>
      <c r="E16" s="124" t="str">
        <f>'PPTO 2027'!$F$15</f>
        <v>Ventas</v>
      </c>
      <c r="F16" s="124" t="str">
        <f>CHOOSE(3,"Ene","Feb","Mar","Abr","May","Jun","Jul","Ago","Sep","Oct","Nov","Dic")</f>
        <v>Mar</v>
      </c>
      <c r="G16" s="124">
        <v>3</v>
      </c>
      <c r="H16" s="124">
        <f>'PPTO 2027'!$K$15</f>
        <v>142500000</v>
      </c>
      <c r="I16" s="124">
        <f>'PPTO 2027'!$X$15</f>
        <v>182400000</v>
      </c>
      <c r="J16" s="124">
        <f t="shared" si="0"/>
        <v>39900000</v>
      </c>
      <c r="K16" s="124">
        <f t="shared" si="1"/>
        <v>39900000</v>
      </c>
      <c r="L16" s="124">
        <f t="shared" si="2"/>
        <v>0.28000000000000003</v>
      </c>
      <c r="M16" s="124">
        <f>IFERROR(INDEX(tReal27[[Ene]:[Dic]],MATCH(C16,tReal27[Cuenta],0),3),0)</f>
        <v>173145000</v>
      </c>
    </row>
    <row r="17" spans="1:13" x14ac:dyDescent="0.4">
      <c r="A17" s="124" t="str">
        <f>'PPTO 2027'!$E$15</f>
        <v>Comercial</v>
      </c>
      <c r="B17" s="124" t="str">
        <f>'PPTO 2027'!$C$15</f>
        <v>Ingresos operacionales</v>
      </c>
      <c r="C17" s="124" t="str">
        <f>'PPTO 2027'!$B$15</f>
        <v>Ventas canal digital</v>
      </c>
      <c r="D17" s="124" t="str">
        <f>'PPTO 2027'!$D$15</f>
        <v>Ingreso</v>
      </c>
      <c r="E17" s="124" t="str">
        <f>'PPTO 2027'!$F$15</f>
        <v>Ventas</v>
      </c>
      <c r="F17" s="124" t="str">
        <f>CHOOSE(4,"Ene","Feb","Mar","Abr","May","Jun","Jul","Ago","Sep","Oct","Nov","Dic")</f>
        <v>Abr</v>
      </c>
      <c r="G17" s="124">
        <v>4</v>
      </c>
      <c r="H17" s="124">
        <f>'PPTO 2027'!$L$15</f>
        <v>142500000</v>
      </c>
      <c r="I17" s="124">
        <f>'PPTO 2027'!$Y$15</f>
        <v>182400000</v>
      </c>
      <c r="J17" s="124">
        <f t="shared" si="0"/>
        <v>39900000</v>
      </c>
      <c r="K17" s="124">
        <f t="shared" si="1"/>
        <v>39900000</v>
      </c>
      <c r="L17" s="124">
        <f t="shared" si="2"/>
        <v>0.28000000000000003</v>
      </c>
      <c r="M17" s="124">
        <f>IFERROR(INDEX(tReal27[[Ene]:[Dic]],MATCH(C17,tReal27[Cuenta],0),4),0)</f>
        <v>177842000</v>
      </c>
    </row>
    <row r="18" spans="1:13" x14ac:dyDescent="0.4">
      <c r="A18" s="124" t="str">
        <f>'PPTO 2027'!$E$15</f>
        <v>Comercial</v>
      </c>
      <c r="B18" s="124" t="str">
        <f>'PPTO 2027'!$C$15</f>
        <v>Ingresos operacionales</v>
      </c>
      <c r="C18" s="124" t="str">
        <f>'PPTO 2027'!$B$15</f>
        <v>Ventas canal digital</v>
      </c>
      <c r="D18" s="124" t="str">
        <f>'PPTO 2027'!$D$15</f>
        <v>Ingreso</v>
      </c>
      <c r="E18" s="124" t="str">
        <f>'PPTO 2027'!$F$15</f>
        <v>Ventas</v>
      </c>
      <c r="F18" s="124" t="str">
        <f>CHOOSE(5,"Ene","Feb","Mar","Abr","May","Jun","Jul","Ago","Sep","Oct","Nov","Dic")</f>
        <v>May</v>
      </c>
      <c r="G18" s="124">
        <v>5</v>
      </c>
      <c r="H18" s="124">
        <f>'PPTO 2027'!$M$15</f>
        <v>150000000</v>
      </c>
      <c r="I18" s="124">
        <f>'PPTO 2027'!$Z$15</f>
        <v>192000000</v>
      </c>
      <c r="J18" s="124">
        <f t="shared" si="0"/>
        <v>42000000</v>
      </c>
      <c r="K18" s="124">
        <f t="shared" si="1"/>
        <v>42000000</v>
      </c>
      <c r="L18" s="124">
        <f t="shared" si="2"/>
        <v>0.28000000000000003</v>
      </c>
      <c r="M18" s="124">
        <f>IFERROR(INDEX(tReal27[[Ene]:[Dic]],MATCH(C18,tReal27[Cuenta],0),5),0)</f>
        <v>187633000</v>
      </c>
    </row>
    <row r="19" spans="1:13" x14ac:dyDescent="0.4">
      <c r="A19" s="124" t="str">
        <f>'PPTO 2027'!$E$15</f>
        <v>Comercial</v>
      </c>
      <c r="B19" s="124" t="str">
        <f>'PPTO 2027'!$C$15</f>
        <v>Ingresos operacionales</v>
      </c>
      <c r="C19" s="124" t="str">
        <f>'PPTO 2027'!$B$15</f>
        <v>Ventas canal digital</v>
      </c>
      <c r="D19" s="124" t="str">
        <f>'PPTO 2027'!$D$15</f>
        <v>Ingreso</v>
      </c>
      <c r="E19" s="124" t="str">
        <f>'PPTO 2027'!$F$15</f>
        <v>Ventas</v>
      </c>
      <c r="F19" s="124" t="str">
        <f>CHOOSE(6,"Ene","Feb","Mar","Abr","May","Jun","Jul","Ago","Sep","Oct","Nov","Dic")</f>
        <v>Jun</v>
      </c>
      <c r="G19" s="124">
        <v>6</v>
      </c>
      <c r="H19" s="124">
        <f>'PPTO 2027'!$N$15</f>
        <v>150000000</v>
      </c>
      <c r="I19" s="124">
        <f>'PPTO 2027'!$AA$15</f>
        <v>192000000</v>
      </c>
      <c r="J19" s="124">
        <f t="shared" si="0"/>
        <v>42000000</v>
      </c>
      <c r="K19" s="124">
        <f t="shared" si="1"/>
        <v>42000000</v>
      </c>
      <c r="L19" s="124">
        <f t="shared" si="2"/>
        <v>0.28000000000000003</v>
      </c>
      <c r="M19" s="124">
        <f>IFERROR(INDEX(tReal27[[Ene]:[Dic]],MATCH(C19,tReal27[Cuenta],0),6),0)</f>
        <v>180180000</v>
      </c>
    </row>
    <row r="20" spans="1:13" x14ac:dyDescent="0.4">
      <c r="A20" s="124" t="str">
        <f>'PPTO 2027'!$E$15</f>
        <v>Comercial</v>
      </c>
      <c r="B20" s="124" t="str">
        <f>'PPTO 2027'!$C$15</f>
        <v>Ingresos operacionales</v>
      </c>
      <c r="C20" s="124" t="str">
        <f>'PPTO 2027'!$B$15</f>
        <v>Ventas canal digital</v>
      </c>
      <c r="D20" s="124" t="str">
        <f>'PPTO 2027'!$D$15</f>
        <v>Ingreso</v>
      </c>
      <c r="E20" s="124" t="str">
        <f>'PPTO 2027'!$F$15</f>
        <v>Ventas</v>
      </c>
      <c r="F20" s="124" t="str">
        <f>CHOOSE(7,"Ene","Feb","Mar","Abr","May","Jun","Jul","Ago","Sep","Oct","Nov","Dic")</f>
        <v>Jul</v>
      </c>
      <c r="G20" s="124">
        <v>7</v>
      </c>
      <c r="H20" s="124">
        <f>'PPTO 2027'!$O$15</f>
        <v>150000000</v>
      </c>
      <c r="I20" s="124">
        <f>'PPTO 2027'!$AB$15</f>
        <v>192000000</v>
      </c>
      <c r="J20" s="124">
        <f t="shared" si="0"/>
        <v>42000000</v>
      </c>
      <c r="K20" s="124">
        <f t="shared" si="1"/>
        <v>42000000</v>
      </c>
      <c r="L20" s="124">
        <f t="shared" si="2"/>
        <v>0.28000000000000003</v>
      </c>
      <c r="M20" s="124">
        <f>IFERROR(INDEX(tReal27[[Ene]:[Dic]],MATCH(C20,tReal27[Cuenta],0),7),0)</f>
        <v>180550000</v>
      </c>
    </row>
    <row r="21" spans="1:13" x14ac:dyDescent="0.4">
      <c r="A21" s="124" t="str">
        <f>'PPTO 2027'!$E$15</f>
        <v>Comercial</v>
      </c>
      <c r="B21" s="124" t="str">
        <f>'PPTO 2027'!$C$15</f>
        <v>Ingresos operacionales</v>
      </c>
      <c r="C21" s="124" t="str">
        <f>'PPTO 2027'!$B$15</f>
        <v>Ventas canal digital</v>
      </c>
      <c r="D21" s="124" t="str">
        <f>'PPTO 2027'!$D$15</f>
        <v>Ingreso</v>
      </c>
      <c r="E21" s="124" t="str">
        <f>'PPTO 2027'!$F$15</f>
        <v>Ventas</v>
      </c>
      <c r="F21" s="124" t="str">
        <f>CHOOSE(8,"Ene","Feb","Mar","Abr","May","Jun","Jul","Ago","Sep","Oct","Nov","Dic")</f>
        <v>Ago</v>
      </c>
      <c r="G21" s="124">
        <v>8</v>
      </c>
      <c r="H21" s="124">
        <f>'PPTO 2027'!$P$15</f>
        <v>157500000</v>
      </c>
      <c r="I21" s="124">
        <f>'PPTO 2027'!$AC$15</f>
        <v>201600000</v>
      </c>
      <c r="J21" s="124">
        <f t="shared" si="0"/>
        <v>44100000</v>
      </c>
      <c r="K21" s="124">
        <f t="shared" si="1"/>
        <v>44100000</v>
      </c>
      <c r="L21" s="124">
        <f t="shared" si="2"/>
        <v>0.28000000000000003</v>
      </c>
      <c r="M21" s="124">
        <f>IFERROR(INDEX(tReal27[[Ene]:[Dic]],MATCH(C21,tReal27[Cuenta],0),8),0)</f>
        <v>192505000</v>
      </c>
    </row>
    <row r="22" spans="1:13" x14ac:dyDescent="0.4">
      <c r="A22" s="124" t="str">
        <f>'PPTO 2027'!$E$15</f>
        <v>Comercial</v>
      </c>
      <c r="B22" s="124" t="str">
        <f>'PPTO 2027'!$C$15</f>
        <v>Ingresos operacionales</v>
      </c>
      <c r="C22" s="124" t="str">
        <f>'PPTO 2027'!$B$15</f>
        <v>Ventas canal digital</v>
      </c>
      <c r="D22" s="124" t="str">
        <f>'PPTO 2027'!$D$15</f>
        <v>Ingreso</v>
      </c>
      <c r="E22" s="124" t="str">
        <f>'PPTO 2027'!$F$15</f>
        <v>Ventas</v>
      </c>
      <c r="F22" s="124" t="str">
        <f>CHOOSE(9,"Ene","Feb","Mar","Abr","May","Jun","Jul","Ago","Sep","Oct","Nov","Dic")</f>
        <v>Sep</v>
      </c>
      <c r="G22" s="124">
        <v>9</v>
      </c>
      <c r="H22" s="124">
        <f>'PPTO 2027'!$Q$15</f>
        <v>150000000</v>
      </c>
      <c r="I22" s="124">
        <f>'PPTO 2027'!$AD$15</f>
        <v>192000000</v>
      </c>
      <c r="J22" s="124">
        <f t="shared" si="0"/>
        <v>42000000</v>
      </c>
      <c r="K22" s="124">
        <f t="shared" si="1"/>
        <v>42000000</v>
      </c>
      <c r="L22" s="124">
        <f t="shared" si="2"/>
        <v>0.28000000000000003</v>
      </c>
      <c r="M22" s="124">
        <f>IFERROR(INDEX(tReal27[[Ene]:[Dic]],MATCH(C22,tReal27[Cuenta],0),9),0)</f>
        <v>182139000</v>
      </c>
    </row>
    <row r="23" spans="1:13" x14ac:dyDescent="0.4">
      <c r="A23" s="124" t="str">
        <f>'PPTO 2027'!$E$15</f>
        <v>Comercial</v>
      </c>
      <c r="B23" s="124" t="str">
        <f>'PPTO 2027'!$C$15</f>
        <v>Ingresos operacionales</v>
      </c>
      <c r="C23" s="124" t="str">
        <f>'PPTO 2027'!$B$15</f>
        <v>Ventas canal digital</v>
      </c>
      <c r="D23" s="124" t="str">
        <f>'PPTO 2027'!$D$15</f>
        <v>Ingreso</v>
      </c>
      <c r="E23" s="124" t="str">
        <f>'PPTO 2027'!$F$15</f>
        <v>Ventas</v>
      </c>
      <c r="F23" s="124" t="str">
        <f>CHOOSE(10,"Ene","Feb","Mar","Abr","May","Jun","Jul","Ago","Sep","Oct","Nov","Dic")</f>
        <v>Oct</v>
      </c>
      <c r="G23" s="124">
        <v>10</v>
      </c>
      <c r="H23" s="124">
        <f>'PPTO 2027'!$R$15</f>
        <v>157500000</v>
      </c>
      <c r="I23" s="124">
        <f>'PPTO 2027'!$AE$15</f>
        <v>201600000</v>
      </c>
      <c r="J23" s="124">
        <f t="shared" si="0"/>
        <v>44100000</v>
      </c>
      <c r="K23" s="124">
        <f t="shared" si="1"/>
        <v>44100000</v>
      </c>
      <c r="L23" s="124">
        <f t="shared" si="2"/>
        <v>0.28000000000000003</v>
      </c>
      <c r="M23" s="124">
        <f>IFERROR(INDEX(tReal27[[Ene]:[Dic]],MATCH(C23,tReal27[Cuenta],0),10),0)</f>
        <v>188789000</v>
      </c>
    </row>
    <row r="24" spans="1:13" x14ac:dyDescent="0.4">
      <c r="A24" s="124" t="str">
        <f>'PPTO 2027'!$E$15</f>
        <v>Comercial</v>
      </c>
      <c r="B24" s="124" t="str">
        <f>'PPTO 2027'!$C$15</f>
        <v>Ingresos operacionales</v>
      </c>
      <c r="C24" s="124" t="str">
        <f>'PPTO 2027'!$B$15</f>
        <v>Ventas canal digital</v>
      </c>
      <c r="D24" s="124" t="str">
        <f>'PPTO 2027'!$D$15</f>
        <v>Ingreso</v>
      </c>
      <c r="E24" s="124" t="str">
        <f>'PPTO 2027'!$F$15</f>
        <v>Ventas</v>
      </c>
      <c r="F24" s="124" t="str">
        <f>CHOOSE(11,"Ene","Feb","Mar","Abr","May","Jun","Jul","Ago","Sep","Oct","Nov","Dic")</f>
        <v>Nov</v>
      </c>
      <c r="G24" s="124">
        <v>11</v>
      </c>
      <c r="H24" s="124">
        <f>'PPTO 2027'!$S$15</f>
        <v>172500000</v>
      </c>
      <c r="I24" s="124">
        <f>'PPTO 2027'!$AF$15</f>
        <v>220800000</v>
      </c>
      <c r="J24" s="124">
        <f t="shared" si="0"/>
        <v>48300000</v>
      </c>
      <c r="K24" s="124">
        <f t="shared" si="1"/>
        <v>48300000</v>
      </c>
      <c r="L24" s="124">
        <f t="shared" si="2"/>
        <v>0.28000000000000003</v>
      </c>
      <c r="M24" s="124">
        <f>IFERROR(INDEX(tReal27[[Ene]:[Dic]],MATCH(C24,tReal27[Cuenta],0),11),0)</f>
        <v>208436000</v>
      </c>
    </row>
    <row r="25" spans="1:13" x14ac:dyDescent="0.4">
      <c r="A25" s="124" t="str">
        <f>'PPTO 2027'!$E$15</f>
        <v>Comercial</v>
      </c>
      <c r="B25" s="124" t="str">
        <f>'PPTO 2027'!$C$15</f>
        <v>Ingresos operacionales</v>
      </c>
      <c r="C25" s="124" t="str">
        <f>'PPTO 2027'!$B$15</f>
        <v>Ventas canal digital</v>
      </c>
      <c r="D25" s="124" t="str">
        <f>'PPTO 2027'!$D$15</f>
        <v>Ingreso</v>
      </c>
      <c r="E25" s="124" t="str">
        <f>'PPTO 2027'!$F$15</f>
        <v>Ventas</v>
      </c>
      <c r="F25" s="124" t="str">
        <f>CHOOSE(12,"Ene","Feb","Mar","Abr","May","Jun","Jul","Ago","Sep","Oct","Nov","Dic")</f>
        <v>Dic</v>
      </c>
      <c r="G25" s="124">
        <v>12</v>
      </c>
      <c r="H25" s="124">
        <f>'PPTO 2027'!$T$15</f>
        <v>180000000</v>
      </c>
      <c r="I25" s="124">
        <f>'PPTO 2027'!$AG$15</f>
        <v>230400000</v>
      </c>
      <c r="J25" s="124">
        <f t="shared" si="0"/>
        <v>50400000</v>
      </c>
      <c r="K25" s="124">
        <f t="shared" si="1"/>
        <v>50400000</v>
      </c>
      <c r="L25" s="124">
        <f t="shared" si="2"/>
        <v>0.28000000000000003</v>
      </c>
      <c r="M25" s="124">
        <f>IFERROR(INDEX(tReal27[[Ene]:[Dic]],MATCH(C25,tReal27[Cuenta],0),12),0)</f>
        <v>220883000</v>
      </c>
    </row>
    <row r="26" spans="1:13" x14ac:dyDescent="0.4">
      <c r="A26" s="124" t="str">
        <f>'PPTO 2027'!$E$16</f>
        <v>Comercial</v>
      </c>
      <c r="B26" s="124" t="str">
        <f>'PPTO 2027'!$C$16</f>
        <v>Ingresos operacionales</v>
      </c>
      <c r="C26" s="124" t="str">
        <f>'PPTO 2027'!$B$16</f>
        <v>Servicios de instalación</v>
      </c>
      <c r="D26" s="124" t="str">
        <f>'PPTO 2027'!$D$16</f>
        <v>Ingreso</v>
      </c>
      <c r="E26" s="124" t="str">
        <f>'PPTO 2027'!$F$16</f>
        <v>Ventas</v>
      </c>
      <c r="F26" s="124" t="str">
        <f>CHOOSE(1,"Ene","Feb","Mar","Abr","May","Jun","Jul","Ago","Sep","Oct","Nov","Dic")</f>
        <v>Ene</v>
      </c>
      <c r="G26" s="124">
        <v>1</v>
      </c>
      <c r="H26" s="124">
        <f>'PPTO 2027'!$I$16</f>
        <v>40000000</v>
      </c>
      <c r="I26" s="124">
        <f>'PPTO 2027'!$V$16</f>
        <v>44520000</v>
      </c>
      <c r="J26" s="124">
        <f t="shared" si="0"/>
        <v>4520000</v>
      </c>
      <c r="K26" s="124">
        <f t="shared" si="1"/>
        <v>4520000</v>
      </c>
      <c r="L26" s="124">
        <f t="shared" si="2"/>
        <v>0.113</v>
      </c>
      <c r="M26" s="124">
        <f>IFERROR(INDEX(tReal27[[Ene]:[Dic]],MATCH(C26,tReal27[Cuenta],0),1),0)</f>
        <v>44137000</v>
      </c>
    </row>
    <row r="27" spans="1:13" x14ac:dyDescent="0.4">
      <c r="A27" s="124" t="str">
        <f>'PPTO 2027'!$E$16</f>
        <v>Comercial</v>
      </c>
      <c r="B27" s="124" t="str">
        <f>'PPTO 2027'!$C$16</f>
        <v>Ingresos operacionales</v>
      </c>
      <c r="C27" s="124" t="str">
        <f>'PPTO 2027'!$B$16</f>
        <v>Servicios de instalación</v>
      </c>
      <c r="D27" s="124" t="str">
        <f>'PPTO 2027'!$D$16</f>
        <v>Ingreso</v>
      </c>
      <c r="E27" s="124" t="str">
        <f>'PPTO 2027'!$F$16</f>
        <v>Ventas</v>
      </c>
      <c r="F27" s="124" t="str">
        <f>CHOOSE(2,"Ene","Feb","Mar","Abr","May","Jun","Jul","Ago","Sep","Oct","Nov","Dic")</f>
        <v>Feb</v>
      </c>
      <c r="G27" s="124">
        <v>2</v>
      </c>
      <c r="H27" s="124">
        <f>'PPTO 2027'!$J$16</f>
        <v>42500000</v>
      </c>
      <c r="I27" s="124">
        <f>'PPTO 2027'!$W$16</f>
        <v>47302500</v>
      </c>
      <c r="J27" s="124">
        <f t="shared" si="0"/>
        <v>4802500</v>
      </c>
      <c r="K27" s="124">
        <f t="shared" si="1"/>
        <v>4802500</v>
      </c>
      <c r="L27" s="124">
        <f t="shared" si="2"/>
        <v>0.113</v>
      </c>
      <c r="M27" s="124">
        <f>IFERROR(INDEX(tReal27[[Ene]:[Dic]],MATCH(C27,tReal27[Cuenta],0),2),0)</f>
        <v>47424000</v>
      </c>
    </row>
    <row r="28" spans="1:13" x14ac:dyDescent="0.4">
      <c r="A28" s="124" t="str">
        <f>'PPTO 2027'!$E$16</f>
        <v>Comercial</v>
      </c>
      <c r="B28" s="124" t="str">
        <f>'PPTO 2027'!$C$16</f>
        <v>Ingresos operacionales</v>
      </c>
      <c r="C28" s="124" t="str">
        <f>'PPTO 2027'!$B$16</f>
        <v>Servicios de instalación</v>
      </c>
      <c r="D28" s="124" t="str">
        <f>'PPTO 2027'!$D$16</f>
        <v>Ingreso</v>
      </c>
      <c r="E28" s="124" t="str">
        <f>'PPTO 2027'!$F$16</f>
        <v>Ventas</v>
      </c>
      <c r="F28" s="124" t="str">
        <f>CHOOSE(3,"Ene","Feb","Mar","Abr","May","Jun","Jul","Ago","Sep","Oct","Nov","Dic")</f>
        <v>Mar</v>
      </c>
      <c r="G28" s="124">
        <v>3</v>
      </c>
      <c r="H28" s="124">
        <f>'PPTO 2027'!$K$16</f>
        <v>47500000</v>
      </c>
      <c r="I28" s="124">
        <f>'PPTO 2027'!$X$16</f>
        <v>52867500</v>
      </c>
      <c r="J28" s="124">
        <f t="shared" si="0"/>
        <v>5367500</v>
      </c>
      <c r="K28" s="124">
        <f t="shared" si="1"/>
        <v>5367500</v>
      </c>
      <c r="L28" s="124">
        <f t="shared" si="2"/>
        <v>0.113</v>
      </c>
      <c r="M28" s="124">
        <f>IFERROR(INDEX(tReal27[[Ene]:[Dic]],MATCH(C28,tReal27[Cuenta],0),3),0)</f>
        <v>53065000</v>
      </c>
    </row>
    <row r="29" spans="1:13" x14ac:dyDescent="0.4">
      <c r="A29" s="124" t="str">
        <f>'PPTO 2027'!$E$16</f>
        <v>Comercial</v>
      </c>
      <c r="B29" s="124" t="str">
        <f>'PPTO 2027'!$C$16</f>
        <v>Ingresos operacionales</v>
      </c>
      <c r="C29" s="124" t="str">
        <f>'PPTO 2027'!$B$16</f>
        <v>Servicios de instalación</v>
      </c>
      <c r="D29" s="124" t="str">
        <f>'PPTO 2027'!$D$16</f>
        <v>Ingreso</v>
      </c>
      <c r="E29" s="124" t="str">
        <f>'PPTO 2027'!$F$16</f>
        <v>Ventas</v>
      </c>
      <c r="F29" s="124" t="str">
        <f>CHOOSE(4,"Ene","Feb","Mar","Abr","May","Jun","Jul","Ago","Sep","Oct","Nov","Dic")</f>
        <v>Abr</v>
      </c>
      <c r="G29" s="124">
        <v>4</v>
      </c>
      <c r="H29" s="124">
        <f>'PPTO 2027'!$L$16</f>
        <v>47500000</v>
      </c>
      <c r="I29" s="124">
        <f>'PPTO 2027'!$Y$16</f>
        <v>52867500</v>
      </c>
      <c r="J29" s="124">
        <f t="shared" si="0"/>
        <v>5367500</v>
      </c>
      <c r="K29" s="124">
        <f t="shared" si="1"/>
        <v>5367500</v>
      </c>
      <c r="L29" s="124">
        <f t="shared" si="2"/>
        <v>0.113</v>
      </c>
      <c r="M29" s="124">
        <f>IFERROR(INDEX(tReal27[[Ene]:[Dic]],MATCH(C29,tReal27[Cuenta],0),4),0)</f>
        <v>52126000</v>
      </c>
    </row>
    <row r="30" spans="1:13" x14ac:dyDescent="0.4">
      <c r="A30" s="124" t="str">
        <f>'PPTO 2027'!$E$16</f>
        <v>Comercial</v>
      </c>
      <c r="B30" s="124" t="str">
        <f>'PPTO 2027'!$C$16</f>
        <v>Ingresos operacionales</v>
      </c>
      <c r="C30" s="124" t="str">
        <f>'PPTO 2027'!$B$16</f>
        <v>Servicios de instalación</v>
      </c>
      <c r="D30" s="124" t="str">
        <f>'PPTO 2027'!$D$16</f>
        <v>Ingreso</v>
      </c>
      <c r="E30" s="124" t="str">
        <f>'PPTO 2027'!$F$16</f>
        <v>Ventas</v>
      </c>
      <c r="F30" s="124" t="str">
        <f>CHOOSE(5,"Ene","Feb","Mar","Abr","May","Jun","Jul","Ago","Sep","Oct","Nov","Dic")</f>
        <v>May</v>
      </c>
      <c r="G30" s="124">
        <v>5</v>
      </c>
      <c r="H30" s="124">
        <f>'PPTO 2027'!$M$16</f>
        <v>50000000</v>
      </c>
      <c r="I30" s="124">
        <f>'PPTO 2027'!$Z$16</f>
        <v>55650000</v>
      </c>
      <c r="J30" s="124">
        <f t="shared" si="0"/>
        <v>5650000</v>
      </c>
      <c r="K30" s="124">
        <f t="shared" si="1"/>
        <v>5650000</v>
      </c>
      <c r="L30" s="124">
        <f t="shared" si="2"/>
        <v>0.113</v>
      </c>
      <c r="M30" s="124">
        <f>IFERROR(INDEX(tReal27[[Ene]:[Dic]],MATCH(C30,tReal27[Cuenta],0),5),0)</f>
        <v>55589000</v>
      </c>
    </row>
    <row r="31" spans="1:13" x14ac:dyDescent="0.4">
      <c r="A31" s="124" t="str">
        <f>'PPTO 2027'!$E$16</f>
        <v>Comercial</v>
      </c>
      <c r="B31" s="124" t="str">
        <f>'PPTO 2027'!$C$16</f>
        <v>Ingresos operacionales</v>
      </c>
      <c r="C31" s="124" t="str">
        <f>'PPTO 2027'!$B$16</f>
        <v>Servicios de instalación</v>
      </c>
      <c r="D31" s="124" t="str">
        <f>'PPTO 2027'!$D$16</f>
        <v>Ingreso</v>
      </c>
      <c r="E31" s="124" t="str">
        <f>'PPTO 2027'!$F$16</f>
        <v>Ventas</v>
      </c>
      <c r="F31" s="124" t="str">
        <f>CHOOSE(6,"Ene","Feb","Mar","Abr","May","Jun","Jul","Ago","Sep","Oct","Nov","Dic")</f>
        <v>Jun</v>
      </c>
      <c r="G31" s="124">
        <v>6</v>
      </c>
      <c r="H31" s="124">
        <f>'PPTO 2027'!$N$16</f>
        <v>50000000</v>
      </c>
      <c r="I31" s="124">
        <f>'PPTO 2027'!$AA$16</f>
        <v>55650000</v>
      </c>
      <c r="J31" s="124">
        <f t="shared" si="0"/>
        <v>5650000</v>
      </c>
      <c r="K31" s="124">
        <f t="shared" si="1"/>
        <v>5650000</v>
      </c>
      <c r="L31" s="124">
        <f t="shared" si="2"/>
        <v>0.113</v>
      </c>
      <c r="M31" s="124">
        <f>IFERROR(INDEX(tReal27[[Ene]:[Dic]],MATCH(C31,tReal27[Cuenta],0),6),0)</f>
        <v>54926000</v>
      </c>
    </row>
    <row r="32" spans="1:13" x14ac:dyDescent="0.4">
      <c r="A32" s="124" t="str">
        <f>'PPTO 2027'!$E$16</f>
        <v>Comercial</v>
      </c>
      <c r="B32" s="124" t="str">
        <f>'PPTO 2027'!$C$16</f>
        <v>Ingresos operacionales</v>
      </c>
      <c r="C32" s="124" t="str">
        <f>'PPTO 2027'!$B$16</f>
        <v>Servicios de instalación</v>
      </c>
      <c r="D32" s="124" t="str">
        <f>'PPTO 2027'!$D$16</f>
        <v>Ingreso</v>
      </c>
      <c r="E32" s="124" t="str">
        <f>'PPTO 2027'!$F$16</f>
        <v>Ventas</v>
      </c>
      <c r="F32" s="124" t="str">
        <f>CHOOSE(7,"Ene","Feb","Mar","Abr","May","Jun","Jul","Ago","Sep","Oct","Nov","Dic")</f>
        <v>Jul</v>
      </c>
      <c r="G32" s="124">
        <v>7</v>
      </c>
      <c r="H32" s="124">
        <f>'PPTO 2027'!$O$16</f>
        <v>50000000</v>
      </c>
      <c r="I32" s="124">
        <f>'PPTO 2027'!$AB$16</f>
        <v>55650000</v>
      </c>
      <c r="J32" s="124">
        <f t="shared" si="0"/>
        <v>5650000</v>
      </c>
      <c r="K32" s="124">
        <f t="shared" si="1"/>
        <v>5650000</v>
      </c>
      <c r="L32" s="124">
        <f t="shared" si="2"/>
        <v>0.113</v>
      </c>
      <c r="M32" s="124">
        <f>IFERROR(INDEX(tReal27[[Ene]:[Dic]],MATCH(C32,tReal27[Cuenta],0),7),0)</f>
        <v>56436000</v>
      </c>
    </row>
    <row r="33" spans="1:13" x14ac:dyDescent="0.4">
      <c r="A33" s="124" t="str">
        <f>'PPTO 2027'!$E$16</f>
        <v>Comercial</v>
      </c>
      <c r="B33" s="124" t="str">
        <f>'PPTO 2027'!$C$16</f>
        <v>Ingresos operacionales</v>
      </c>
      <c r="C33" s="124" t="str">
        <f>'PPTO 2027'!$B$16</f>
        <v>Servicios de instalación</v>
      </c>
      <c r="D33" s="124" t="str">
        <f>'PPTO 2027'!$D$16</f>
        <v>Ingreso</v>
      </c>
      <c r="E33" s="124" t="str">
        <f>'PPTO 2027'!$F$16</f>
        <v>Ventas</v>
      </c>
      <c r="F33" s="124" t="str">
        <f>CHOOSE(8,"Ene","Feb","Mar","Abr","May","Jun","Jul","Ago","Sep","Oct","Nov","Dic")</f>
        <v>Ago</v>
      </c>
      <c r="G33" s="124">
        <v>8</v>
      </c>
      <c r="H33" s="124">
        <f>'PPTO 2027'!$P$16</f>
        <v>52500000</v>
      </c>
      <c r="I33" s="124">
        <f>'PPTO 2027'!$AC$16</f>
        <v>58432500</v>
      </c>
      <c r="J33" s="124">
        <f t="shared" si="0"/>
        <v>5932500</v>
      </c>
      <c r="K33" s="124">
        <f t="shared" si="1"/>
        <v>5932500</v>
      </c>
      <c r="L33" s="124">
        <f t="shared" si="2"/>
        <v>0.113</v>
      </c>
      <c r="M33" s="124">
        <f>IFERROR(INDEX(tReal27[[Ene]:[Dic]],MATCH(C33,tReal27[Cuenta],0),8),0)</f>
        <v>57178000</v>
      </c>
    </row>
    <row r="34" spans="1:13" x14ac:dyDescent="0.4">
      <c r="A34" s="124" t="str">
        <f>'PPTO 2027'!$E$16</f>
        <v>Comercial</v>
      </c>
      <c r="B34" s="124" t="str">
        <f>'PPTO 2027'!$C$16</f>
        <v>Ingresos operacionales</v>
      </c>
      <c r="C34" s="124" t="str">
        <f>'PPTO 2027'!$B$16</f>
        <v>Servicios de instalación</v>
      </c>
      <c r="D34" s="124" t="str">
        <f>'PPTO 2027'!$D$16</f>
        <v>Ingreso</v>
      </c>
      <c r="E34" s="124" t="str">
        <f>'PPTO 2027'!$F$16</f>
        <v>Ventas</v>
      </c>
      <c r="F34" s="124" t="str">
        <f>CHOOSE(9,"Ene","Feb","Mar","Abr","May","Jun","Jul","Ago","Sep","Oct","Nov","Dic")</f>
        <v>Sep</v>
      </c>
      <c r="G34" s="124">
        <v>9</v>
      </c>
      <c r="H34" s="124">
        <f>'PPTO 2027'!$Q$16</f>
        <v>50000000</v>
      </c>
      <c r="I34" s="124">
        <f>'PPTO 2027'!$AD$16</f>
        <v>55650000</v>
      </c>
      <c r="J34" s="124">
        <f t="shared" si="0"/>
        <v>5650000</v>
      </c>
      <c r="K34" s="124">
        <f t="shared" si="1"/>
        <v>5650000</v>
      </c>
      <c r="L34" s="124">
        <f t="shared" si="2"/>
        <v>0.113</v>
      </c>
      <c r="M34" s="124">
        <f>IFERROR(INDEX(tReal27[[Ene]:[Dic]],MATCH(C34,tReal27[Cuenta],0),9),0)</f>
        <v>56871000</v>
      </c>
    </row>
    <row r="35" spans="1:13" x14ac:dyDescent="0.4">
      <c r="A35" s="124" t="str">
        <f>'PPTO 2027'!$E$16</f>
        <v>Comercial</v>
      </c>
      <c r="B35" s="124" t="str">
        <f>'PPTO 2027'!$C$16</f>
        <v>Ingresos operacionales</v>
      </c>
      <c r="C35" s="124" t="str">
        <f>'PPTO 2027'!$B$16</f>
        <v>Servicios de instalación</v>
      </c>
      <c r="D35" s="124" t="str">
        <f>'PPTO 2027'!$D$16</f>
        <v>Ingreso</v>
      </c>
      <c r="E35" s="124" t="str">
        <f>'PPTO 2027'!$F$16</f>
        <v>Ventas</v>
      </c>
      <c r="F35" s="124" t="str">
        <f>CHOOSE(10,"Ene","Feb","Mar","Abr","May","Jun","Jul","Ago","Sep","Oct","Nov","Dic")</f>
        <v>Oct</v>
      </c>
      <c r="G35" s="124">
        <v>10</v>
      </c>
      <c r="H35" s="124">
        <f>'PPTO 2027'!$R$16</f>
        <v>52500000</v>
      </c>
      <c r="I35" s="124">
        <f>'PPTO 2027'!$AE$16</f>
        <v>58432500</v>
      </c>
      <c r="J35" s="124">
        <f t="shared" si="0"/>
        <v>5932500</v>
      </c>
      <c r="K35" s="124">
        <f t="shared" si="1"/>
        <v>5932500</v>
      </c>
      <c r="L35" s="124">
        <f t="shared" si="2"/>
        <v>0.113</v>
      </c>
      <c r="M35" s="124">
        <f>IFERROR(INDEX(tReal27[[Ene]:[Dic]],MATCH(C35,tReal27[Cuenta],0),10),0)</f>
        <v>57258000</v>
      </c>
    </row>
    <row r="36" spans="1:13" x14ac:dyDescent="0.4">
      <c r="A36" s="124" t="str">
        <f>'PPTO 2027'!$E$16</f>
        <v>Comercial</v>
      </c>
      <c r="B36" s="124" t="str">
        <f>'PPTO 2027'!$C$16</f>
        <v>Ingresos operacionales</v>
      </c>
      <c r="C36" s="124" t="str">
        <f>'PPTO 2027'!$B$16</f>
        <v>Servicios de instalación</v>
      </c>
      <c r="D36" s="124" t="str">
        <f>'PPTO 2027'!$D$16</f>
        <v>Ingreso</v>
      </c>
      <c r="E36" s="124" t="str">
        <f>'PPTO 2027'!$F$16</f>
        <v>Ventas</v>
      </c>
      <c r="F36" s="124" t="str">
        <f>CHOOSE(11,"Ene","Feb","Mar","Abr","May","Jun","Jul","Ago","Sep","Oct","Nov","Dic")</f>
        <v>Nov</v>
      </c>
      <c r="G36" s="124">
        <v>11</v>
      </c>
      <c r="H36" s="124">
        <f>'PPTO 2027'!$S$16</f>
        <v>57500000</v>
      </c>
      <c r="I36" s="124">
        <f>'PPTO 2027'!$AF$16</f>
        <v>63997500</v>
      </c>
      <c r="J36" s="124">
        <f t="shared" si="0"/>
        <v>6497500</v>
      </c>
      <c r="K36" s="124">
        <f t="shared" si="1"/>
        <v>6497500</v>
      </c>
      <c r="L36" s="124">
        <f t="shared" si="2"/>
        <v>0.113</v>
      </c>
      <c r="M36" s="124">
        <f>IFERROR(INDEX(tReal27[[Ene]:[Dic]],MATCH(C36,tReal27[Cuenta],0),11),0)</f>
        <v>65007000</v>
      </c>
    </row>
    <row r="37" spans="1:13" x14ac:dyDescent="0.4">
      <c r="A37" s="124" t="str">
        <f>'PPTO 2027'!$E$16</f>
        <v>Comercial</v>
      </c>
      <c r="B37" s="124" t="str">
        <f>'PPTO 2027'!$C$16</f>
        <v>Ingresos operacionales</v>
      </c>
      <c r="C37" s="124" t="str">
        <f>'PPTO 2027'!$B$16</f>
        <v>Servicios de instalación</v>
      </c>
      <c r="D37" s="124" t="str">
        <f>'PPTO 2027'!$D$16</f>
        <v>Ingreso</v>
      </c>
      <c r="E37" s="124" t="str">
        <f>'PPTO 2027'!$F$16</f>
        <v>Ventas</v>
      </c>
      <c r="F37" s="124" t="str">
        <f>CHOOSE(12,"Ene","Feb","Mar","Abr","May","Jun","Jul","Ago","Sep","Oct","Nov","Dic")</f>
        <v>Dic</v>
      </c>
      <c r="G37" s="124">
        <v>12</v>
      </c>
      <c r="H37" s="124">
        <f>'PPTO 2027'!$T$16</f>
        <v>60000000</v>
      </c>
      <c r="I37" s="124">
        <f>'PPTO 2027'!$AG$16</f>
        <v>66780000</v>
      </c>
      <c r="J37" s="124">
        <f t="shared" si="0"/>
        <v>6780000</v>
      </c>
      <c r="K37" s="124">
        <f t="shared" si="1"/>
        <v>6780000</v>
      </c>
      <c r="L37" s="124">
        <f t="shared" si="2"/>
        <v>0.113</v>
      </c>
      <c r="M37" s="124">
        <f>IFERROR(INDEX(tReal27[[Ene]:[Dic]],MATCH(C37,tReal27[Cuenta],0),12),0)</f>
        <v>67211000</v>
      </c>
    </row>
    <row r="38" spans="1:13" x14ac:dyDescent="0.4">
      <c r="A38" s="124" t="str">
        <f>'PPTO 2027'!$E$19</f>
        <v>Operaciones</v>
      </c>
      <c r="B38" s="124" t="str">
        <f>'PPTO 2027'!$C$19</f>
        <v>Costo de ventas</v>
      </c>
      <c r="C38" s="124" t="str">
        <f>'PPTO 2027'!$B$19</f>
        <v>Costo de mercancía vendida</v>
      </c>
      <c r="D38" s="124" t="str">
        <f>'PPTO 2027'!$D$19</f>
        <v>Costo</v>
      </c>
      <c r="E38" s="124" t="str">
        <f>'PPTO 2027'!$F$19</f>
        <v>Costo variable</v>
      </c>
      <c r="F38" s="124" t="str">
        <f>CHOOSE(1,"Ene","Feb","Mar","Abr","May","Jun","Jul","Ago","Sep","Oct","Nov","Dic")</f>
        <v>Ene</v>
      </c>
      <c r="G38" s="124">
        <v>1</v>
      </c>
      <c r="H38" s="124">
        <f>'PPTO 2027'!$I$19</f>
        <v>466700000</v>
      </c>
      <c r="I38" s="124">
        <f>'PPTO 2027'!$V$19</f>
        <v>521910610.00000006</v>
      </c>
      <c r="J38" s="124">
        <f t="shared" si="0"/>
        <v>55210610.00000006</v>
      </c>
      <c r="K38" s="124">
        <f t="shared" si="1"/>
        <v>55210610.00000006</v>
      </c>
      <c r="L38" s="124">
        <f t="shared" si="2"/>
        <v>0.11830000000000013</v>
      </c>
      <c r="M38" s="124">
        <f>IFERROR(INDEX(tReal27[[Ene]:[Dic]],MATCH(C38,tReal27[Cuenta],0),1),0)</f>
        <v>505292000</v>
      </c>
    </row>
    <row r="39" spans="1:13" x14ac:dyDescent="0.4">
      <c r="A39" s="124" t="str">
        <f>'PPTO 2027'!$E$19</f>
        <v>Operaciones</v>
      </c>
      <c r="B39" s="124" t="str">
        <f>'PPTO 2027'!$C$19</f>
        <v>Costo de ventas</v>
      </c>
      <c r="C39" s="124" t="str">
        <f>'PPTO 2027'!$B$19</f>
        <v>Costo de mercancía vendida</v>
      </c>
      <c r="D39" s="124" t="str">
        <f>'PPTO 2027'!$D$19</f>
        <v>Costo</v>
      </c>
      <c r="E39" s="124" t="str">
        <f>'PPTO 2027'!$F$19</f>
        <v>Costo variable</v>
      </c>
      <c r="F39" s="124" t="str">
        <f>CHOOSE(2,"Ene","Feb","Mar","Abr","May","Jun","Jul","Ago","Sep","Oct","Nov","Dic")</f>
        <v>Feb</v>
      </c>
      <c r="G39" s="124">
        <v>2</v>
      </c>
      <c r="H39" s="124">
        <f>'PPTO 2027'!$J$19</f>
        <v>495800000</v>
      </c>
      <c r="I39" s="124">
        <f>'PPTO 2027'!$W$19</f>
        <v>554453140</v>
      </c>
      <c r="J39" s="124">
        <f t="shared" si="0"/>
        <v>58653140</v>
      </c>
      <c r="K39" s="124">
        <f t="shared" si="1"/>
        <v>58653140</v>
      </c>
      <c r="L39" s="124">
        <f t="shared" si="2"/>
        <v>0.1183</v>
      </c>
      <c r="M39" s="124">
        <f>IFERROR(INDEX(tReal27[[Ene]:[Dic]],MATCH(C39,tReal27[Cuenta],0),2),0)</f>
        <v>542318000</v>
      </c>
    </row>
    <row r="40" spans="1:13" x14ac:dyDescent="0.4">
      <c r="A40" s="124" t="str">
        <f>'PPTO 2027'!$E$19</f>
        <v>Operaciones</v>
      </c>
      <c r="B40" s="124" t="str">
        <f>'PPTO 2027'!$C$19</f>
        <v>Costo de ventas</v>
      </c>
      <c r="C40" s="124" t="str">
        <f>'PPTO 2027'!$B$19</f>
        <v>Costo de mercancía vendida</v>
      </c>
      <c r="D40" s="124" t="str">
        <f>'PPTO 2027'!$D$19</f>
        <v>Costo</v>
      </c>
      <c r="E40" s="124" t="str">
        <f>'PPTO 2027'!$F$19</f>
        <v>Costo variable</v>
      </c>
      <c r="F40" s="124" t="str">
        <f>CHOOSE(3,"Ene","Feb","Mar","Abr","May","Jun","Jul","Ago","Sep","Oct","Nov","Dic")</f>
        <v>Mar</v>
      </c>
      <c r="G40" s="124">
        <v>3</v>
      </c>
      <c r="H40" s="124">
        <f>'PPTO 2027'!$K$19</f>
        <v>554200000</v>
      </c>
      <c r="I40" s="124">
        <f>'PPTO 2027'!$X$19</f>
        <v>619761860</v>
      </c>
      <c r="J40" s="124">
        <f t="shared" si="0"/>
        <v>65561860</v>
      </c>
      <c r="K40" s="124">
        <f t="shared" si="1"/>
        <v>65561860</v>
      </c>
      <c r="L40" s="124">
        <f t="shared" si="2"/>
        <v>0.1183</v>
      </c>
      <c r="M40" s="124">
        <f>IFERROR(INDEX(tReal27[[Ene]:[Dic]],MATCH(C40,tReal27[Cuenta],0),3),0)</f>
        <v>616983000</v>
      </c>
    </row>
    <row r="41" spans="1:13" x14ac:dyDescent="0.4">
      <c r="A41" s="124" t="str">
        <f>'PPTO 2027'!$E$19</f>
        <v>Operaciones</v>
      </c>
      <c r="B41" s="124" t="str">
        <f>'PPTO 2027'!$C$19</f>
        <v>Costo de ventas</v>
      </c>
      <c r="C41" s="124" t="str">
        <f>'PPTO 2027'!$B$19</f>
        <v>Costo de mercancía vendida</v>
      </c>
      <c r="D41" s="124" t="str">
        <f>'PPTO 2027'!$D$19</f>
        <v>Costo</v>
      </c>
      <c r="E41" s="124" t="str">
        <f>'PPTO 2027'!$F$19</f>
        <v>Costo variable</v>
      </c>
      <c r="F41" s="124" t="str">
        <f>CHOOSE(4,"Ene","Feb","Mar","Abr","May","Jun","Jul","Ago","Sep","Oct","Nov","Dic")</f>
        <v>Abr</v>
      </c>
      <c r="G41" s="124">
        <v>4</v>
      </c>
      <c r="H41" s="124">
        <f>'PPTO 2027'!$L$19</f>
        <v>554200000</v>
      </c>
      <c r="I41" s="124">
        <f>'PPTO 2027'!$Y$19</f>
        <v>619761860</v>
      </c>
      <c r="J41" s="124">
        <f t="shared" si="0"/>
        <v>65561860</v>
      </c>
      <c r="K41" s="124">
        <f t="shared" si="1"/>
        <v>65561860</v>
      </c>
      <c r="L41" s="124">
        <f t="shared" si="2"/>
        <v>0.1183</v>
      </c>
      <c r="M41" s="124">
        <f>IFERROR(INDEX(tReal27[[Ene]:[Dic]],MATCH(C41,tReal27[Cuenta],0),4),0)</f>
        <v>607213000</v>
      </c>
    </row>
    <row r="42" spans="1:13" x14ac:dyDescent="0.4">
      <c r="A42" s="124" t="str">
        <f>'PPTO 2027'!$E$19</f>
        <v>Operaciones</v>
      </c>
      <c r="B42" s="124" t="str">
        <f>'PPTO 2027'!$C$19</f>
        <v>Costo de ventas</v>
      </c>
      <c r="C42" s="124" t="str">
        <f>'PPTO 2027'!$B$19</f>
        <v>Costo de mercancía vendida</v>
      </c>
      <c r="D42" s="124" t="str">
        <f>'PPTO 2027'!$D$19</f>
        <v>Costo</v>
      </c>
      <c r="E42" s="124" t="str">
        <f>'PPTO 2027'!$F$19</f>
        <v>Costo variable</v>
      </c>
      <c r="F42" s="124" t="str">
        <f>CHOOSE(5,"Ene","Feb","Mar","Abr","May","Jun","Jul","Ago","Sep","Oct","Nov","Dic")</f>
        <v>May</v>
      </c>
      <c r="G42" s="124">
        <v>5</v>
      </c>
      <c r="H42" s="124">
        <f>'PPTO 2027'!$M$19</f>
        <v>583300000</v>
      </c>
      <c r="I42" s="124">
        <f>'PPTO 2027'!$Z$19</f>
        <v>652304390</v>
      </c>
      <c r="J42" s="124">
        <f t="shared" si="0"/>
        <v>69004390</v>
      </c>
      <c r="K42" s="124">
        <f t="shared" si="1"/>
        <v>69004390</v>
      </c>
      <c r="L42" s="124">
        <f t="shared" si="2"/>
        <v>0.1183</v>
      </c>
      <c r="M42" s="124">
        <f>IFERROR(INDEX(tReal27[[Ene]:[Dic]],MATCH(C42,tReal27[Cuenta],0),5),0)</f>
        <v>624229000</v>
      </c>
    </row>
    <row r="43" spans="1:13" x14ac:dyDescent="0.4">
      <c r="A43" s="124" t="str">
        <f>'PPTO 2027'!$E$19</f>
        <v>Operaciones</v>
      </c>
      <c r="B43" s="124" t="str">
        <f>'PPTO 2027'!$C$19</f>
        <v>Costo de ventas</v>
      </c>
      <c r="C43" s="124" t="str">
        <f>'PPTO 2027'!$B$19</f>
        <v>Costo de mercancía vendida</v>
      </c>
      <c r="D43" s="124" t="str">
        <f>'PPTO 2027'!$D$19</f>
        <v>Costo</v>
      </c>
      <c r="E43" s="124" t="str">
        <f>'PPTO 2027'!$F$19</f>
        <v>Costo variable</v>
      </c>
      <c r="F43" s="124" t="str">
        <f>CHOOSE(6,"Ene","Feb","Mar","Abr","May","Jun","Jul","Ago","Sep","Oct","Nov","Dic")</f>
        <v>Jun</v>
      </c>
      <c r="G43" s="124">
        <v>6</v>
      </c>
      <c r="H43" s="124">
        <f>'PPTO 2027'!$N$19</f>
        <v>583300000</v>
      </c>
      <c r="I43" s="124">
        <f>'PPTO 2027'!$AA$19</f>
        <v>652304390</v>
      </c>
      <c r="J43" s="124">
        <f t="shared" si="0"/>
        <v>69004390</v>
      </c>
      <c r="K43" s="124">
        <f t="shared" si="1"/>
        <v>69004390</v>
      </c>
      <c r="L43" s="124">
        <f t="shared" si="2"/>
        <v>0.1183</v>
      </c>
      <c r="M43" s="124">
        <f>IFERROR(INDEX(tReal27[[Ene]:[Dic]],MATCH(C43,tReal27[Cuenta],0),6),0)</f>
        <v>632414000</v>
      </c>
    </row>
    <row r="44" spans="1:13" x14ac:dyDescent="0.4">
      <c r="A44" s="124" t="str">
        <f>'PPTO 2027'!$E$19</f>
        <v>Operaciones</v>
      </c>
      <c r="B44" s="124" t="str">
        <f>'PPTO 2027'!$C$19</f>
        <v>Costo de ventas</v>
      </c>
      <c r="C44" s="124" t="str">
        <f>'PPTO 2027'!$B$19</f>
        <v>Costo de mercancía vendida</v>
      </c>
      <c r="D44" s="124" t="str">
        <f>'PPTO 2027'!$D$19</f>
        <v>Costo</v>
      </c>
      <c r="E44" s="124" t="str">
        <f>'PPTO 2027'!$F$19</f>
        <v>Costo variable</v>
      </c>
      <c r="F44" s="124" t="str">
        <f>CHOOSE(7,"Ene","Feb","Mar","Abr","May","Jun","Jul","Ago","Sep","Oct","Nov","Dic")</f>
        <v>Jul</v>
      </c>
      <c r="G44" s="124">
        <v>7</v>
      </c>
      <c r="H44" s="124">
        <f>'PPTO 2027'!$O$19</f>
        <v>583300000</v>
      </c>
      <c r="I44" s="124">
        <f>'PPTO 2027'!$AB$19</f>
        <v>652304390</v>
      </c>
      <c r="J44" s="124">
        <f t="shared" si="0"/>
        <v>69004390</v>
      </c>
      <c r="K44" s="124">
        <f t="shared" si="1"/>
        <v>69004390</v>
      </c>
      <c r="L44" s="124">
        <f t="shared" si="2"/>
        <v>0.1183</v>
      </c>
      <c r="M44" s="124">
        <f>IFERROR(INDEX(tReal27[[Ene]:[Dic]],MATCH(C44,tReal27[Cuenta],0),7),0)</f>
        <v>638716000</v>
      </c>
    </row>
    <row r="45" spans="1:13" x14ac:dyDescent="0.4">
      <c r="A45" s="124" t="str">
        <f>'PPTO 2027'!$E$19</f>
        <v>Operaciones</v>
      </c>
      <c r="B45" s="124" t="str">
        <f>'PPTO 2027'!$C$19</f>
        <v>Costo de ventas</v>
      </c>
      <c r="C45" s="124" t="str">
        <f>'PPTO 2027'!$B$19</f>
        <v>Costo de mercancía vendida</v>
      </c>
      <c r="D45" s="124" t="str">
        <f>'PPTO 2027'!$D$19</f>
        <v>Costo</v>
      </c>
      <c r="E45" s="124" t="str">
        <f>'PPTO 2027'!$F$19</f>
        <v>Costo variable</v>
      </c>
      <c r="F45" s="124" t="str">
        <f>CHOOSE(8,"Ene","Feb","Mar","Abr","May","Jun","Jul","Ago","Sep","Oct","Nov","Dic")</f>
        <v>Ago</v>
      </c>
      <c r="G45" s="124">
        <v>8</v>
      </c>
      <c r="H45" s="124">
        <f>'PPTO 2027'!$P$19</f>
        <v>612500000</v>
      </c>
      <c r="I45" s="124">
        <f>'PPTO 2027'!$AC$19</f>
        <v>684958750</v>
      </c>
      <c r="J45" s="124">
        <f t="shared" si="0"/>
        <v>72458750</v>
      </c>
      <c r="K45" s="124">
        <f t="shared" si="1"/>
        <v>72458750</v>
      </c>
      <c r="L45" s="124">
        <f t="shared" si="2"/>
        <v>0.1183</v>
      </c>
      <c r="M45" s="124">
        <f>IFERROR(INDEX(tReal27[[Ene]:[Dic]],MATCH(C45,tReal27[Cuenta],0),8),0)</f>
        <v>675199000</v>
      </c>
    </row>
    <row r="46" spans="1:13" x14ac:dyDescent="0.4">
      <c r="A46" s="124" t="str">
        <f>'PPTO 2027'!$E$19</f>
        <v>Operaciones</v>
      </c>
      <c r="B46" s="124" t="str">
        <f>'PPTO 2027'!$C$19</f>
        <v>Costo de ventas</v>
      </c>
      <c r="C46" s="124" t="str">
        <f>'PPTO 2027'!$B$19</f>
        <v>Costo de mercancía vendida</v>
      </c>
      <c r="D46" s="124" t="str">
        <f>'PPTO 2027'!$D$19</f>
        <v>Costo</v>
      </c>
      <c r="E46" s="124" t="str">
        <f>'PPTO 2027'!$F$19</f>
        <v>Costo variable</v>
      </c>
      <c r="F46" s="124" t="str">
        <f>CHOOSE(9,"Ene","Feb","Mar","Abr","May","Jun","Jul","Ago","Sep","Oct","Nov","Dic")</f>
        <v>Sep</v>
      </c>
      <c r="G46" s="124">
        <v>9</v>
      </c>
      <c r="H46" s="124">
        <f>'PPTO 2027'!$Q$19</f>
        <v>583300000</v>
      </c>
      <c r="I46" s="124">
        <f>'PPTO 2027'!$AD$19</f>
        <v>652304390</v>
      </c>
      <c r="J46" s="124">
        <f t="shared" si="0"/>
        <v>69004390</v>
      </c>
      <c r="K46" s="124">
        <f t="shared" si="1"/>
        <v>69004390</v>
      </c>
      <c r="L46" s="124">
        <f t="shared" si="2"/>
        <v>0.1183</v>
      </c>
      <c r="M46" s="124">
        <f>IFERROR(INDEX(tReal27[[Ene]:[Dic]],MATCH(C46,tReal27[Cuenta],0),9),0)</f>
        <v>643661000</v>
      </c>
    </row>
    <row r="47" spans="1:13" x14ac:dyDescent="0.4">
      <c r="A47" s="124" t="str">
        <f>'PPTO 2027'!$E$19</f>
        <v>Operaciones</v>
      </c>
      <c r="B47" s="124" t="str">
        <f>'PPTO 2027'!$C$19</f>
        <v>Costo de ventas</v>
      </c>
      <c r="C47" s="124" t="str">
        <f>'PPTO 2027'!$B$19</f>
        <v>Costo de mercancía vendida</v>
      </c>
      <c r="D47" s="124" t="str">
        <f>'PPTO 2027'!$D$19</f>
        <v>Costo</v>
      </c>
      <c r="E47" s="124" t="str">
        <f>'PPTO 2027'!$F$19</f>
        <v>Costo variable</v>
      </c>
      <c r="F47" s="124" t="str">
        <f>CHOOSE(10,"Ene","Feb","Mar","Abr","May","Jun","Jul","Ago","Sep","Oct","Nov","Dic")</f>
        <v>Oct</v>
      </c>
      <c r="G47" s="124">
        <v>10</v>
      </c>
      <c r="H47" s="124">
        <f>'PPTO 2027'!$R$19</f>
        <v>612500000</v>
      </c>
      <c r="I47" s="124">
        <f>'PPTO 2027'!$AE$19</f>
        <v>684958750</v>
      </c>
      <c r="J47" s="124">
        <f t="shared" si="0"/>
        <v>72458750</v>
      </c>
      <c r="K47" s="124">
        <f t="shared" si="1"/>
        <v>72458750</v>
      </c>
      <c r="L47" s="124">
        <f t="shared" si="2"/>
        <v>0.1183</v>
      </c>
      <c r="M47" s="124">
        <f>IFERROR(INDEX(tReal27[[Ene]:[Dic]],MATCH(C47,tReal27[Cuenta],0),10),0)</f>
        <v>657894000</v>
      </c>
    </row>
    <row r="48" spans="1:13" x14ac:dyDescent="0.4">
      <c r="A48" s="124" t="str">
        <f>'PPTO 2027'!$E$19</f>
        <v>Operaciones</v>
      </c>
      <c r="B48" s="124" t="str">
        <f>'PPTO 2027'!$C$19</f>
        <v>Costo de ventas</v>
      </c>
      <c r="C48" s="124" t="str">
        <f>'PPTO 2027'!$B$19</f>
        <v>Costo de mercancía vendida</v>
      </c>
      <c r="D48" s="124" t="str">
        <f>'PPTO 2027'!$D$19</f>
        <v>Costo</v>
      </c>
      <c r="E48" s="124" t="str">
        <f>'PPTO 2027'!$F$19</f>
        <v>Costo variable</v>
      </c>
      <c r="F48" s="124" t="str">
        <f>CHOOSE(11,"Ene","Feb","Mar","Abr","May","Jun","Jul","Ago","Sep","Oct","Nov","Dic")</f>
        <v>Nov</v>
      </c>
      <c r="G48" s="124">
        <v>11</v>
      </c>
      <c r="H48" s="124">
        <f>'PPTO 2027'!$S$19</f>
        <v>670800000</v>
      </c>
      <c r="I48" s="124">
        <f>'PPTO 2027'!$AF$19</f>
        <v>750155640</v>
      </c>
      <c r="J48" s="124">
        <f t="shared" si="0"/>
        <v>79355640</v>
      </c>
      <c r="K48" s="124">
        <f t="shared" si="1"/>
        <v>79355640</v>
      </c>
      <c r="L48" s="124">
        <f t="shared" si="2"/>
        <v>0.1183</v>
      </c>
      <c r="M48" s="124">
        <f>IFERROR(INDEX(tReal27[[Ene]:[Dic]],MATCH(C48,tReal27[Cuenta],0),11),0)</f>
        <v>734942000</v>
      </c>
    </row>
    <row r="49" spans="1:13" x14ac:dyDescent="0.4">
      <c r="A49" s="124" t="str">
        <f>'PPTO 2027'!$E$19</f>
        <v>Operaciones</v>
      </c>
      <c r="B49" s="124" t="str">
        <f>'PPTO 2027'!$C$19</f>
        <v>Costo de ventas</v>
      </c>
      <c r="C49" s="124" t="str">
        <f>'PPTO 2027'!$B$19</f>
        <v>Costo de mercancía vendida</v>
      </c>
      <c r="D49" s="124" t="str">
        <f>'PPTO 2027'!$D$19</f>
        <v>Costo</v>
      </c>
      <c r="E49" s="124" t="str">
        <f>'PPTO 2027'!$F$19</f>
        <v>Costo variable</v>
      </c>
      <c r="F49" s="124" t="str">
        <f>CHOOSE(12,"Ene","Feb","Mar","Abr","May","Jun","Jul","Ago","Sep","Oct","Nov","Dic")</f>
        <v>Dic</v>
      </c>
      <c r="G49" s="124">
        <v>12</v>
      </c>
      <c r="H49" s="124">
        <f>'PPTO 2027'!$T$19</f>
        <v>700100000</v>
      </c>
      <c r="I49" s="124">
        <f>'PPTO 2027'!$AG$19</f>
        <v>782921830</v>
      </c>
      <c r="J49" s="124">
        <f t="shared" si="0"/>
        <v>82821830</v>
      </c>
      <c r="K49" s="124">
        <f t="shared" si="1"/>
        <v>82821830</v>
      </c>
      <c r="L49" s="124">
        <f t="shared" si="2"/>
        <v>0.1183</v>
      </c>
      <c r="M49" s="124">
        <f>IFERROR(INDEX(tReal27[[Ene]:[Dic]],MATCH(C49,tReal27[Cuenta],0),12),0)</f>
        <v>753382000</v>
      </c>
    </row>
    <row r="50" spans="1:13" x14ac:dyDescent="0.4">
      <c r="A50" s="124" t="str">
        <f>'PPTO 2027'!$E$20</f>
        <v>Operaciones</v>
      </c>
      <c r="B50" s="124" t="str">
        <f>'PPTO 2027'!$C$20</f>
        <v>Costo de ventas</v>
      </c>
      <c r="C50" s="124" t="str">
        <f>'PPTO 2027'!$B$20</f>
        <v>Fletes de compra</v>
      </c>
      <c r="D50" s="124" t="str">
        <f>'PPTO 2027'!$D$20</f>
        <v>Costo</v>
      </c>
      <c r="E50" s="124" t="str">
        <f>'PPTO 2027'!$F$20</f>
        <v>Costo variable</v>
      </c>
      <c r="F50" s="124" t="str">
        <f>CHOOSE(1,"Ene","Feb","Mar","Abr","May","Jun","Jul","Ago","Sep","Oct","Nov","Dic")</f>
        <v>Ene</v>
      </c>
      <c r="G50" s="124">
        <v>1</v>
      </c>
      <c r="H50" s="124">
        <f>'PPTO 2027'!$I$20</f>
        <v>32000000</v>
      </c>
      <c r="I50" s="124">
        <f>'PPTO 2027'!$V$20</f>
        <v>35785600</v>
      </c>
      <c r="J50" s="124">
        <f t="shared" si="0"/>
        <v>3785600</v>
      </c>
      <c r="K50" s="124">
        <f t="shared" si="1"/>
        <v>3785600</v>
      </c>
      <c r="L50" s="124">
        <f t="shared" si="2"/>
        <v>0.1183</v>
      </c>
      <c r="M50" s="124">
        <f>IFERROR(INDEX(tReal27[[Ene]:[Dic]],MATCH(C50,tReal27[Cuenta],0),1),0)</f>
        <v>38643000</v>
      </c>
    </row>
    <row r="51" spans="1:13" x14ac:dyDescent="0.4">
      <c r="A51" s="124" t="str">
        <f>'PPTO 2027'!$E$20</f>
        <v>Operaciones</v>
      </c>
      <c r="B51" s="124" t="str">
        <f>'PPTO 2027'!$C$20</f>
        <v>Costo de ventas</v>
      </c>
      <c r="C51" s="124" t="str">
        <f>'PPTO 2027'!$B$20</f>
        <v>Fletes de compra</v>
      </c>
      <c r="D51" s="124" t="str">
        <f>'PPTO 2027'!$D$20</f>
        <v>Costo</v>
      </c>
      <c r="E51" s="124" t="str">
        <f>'PPTO 2027'!$F$20</f>
        <v>Costo variable</v>
      </c>
      <c r="F51" s="124" t="str">
        <f>CHOOSE(2,"Ene","Feb","Mar","Abr","May","Jun","Jul","Ago","Sep","Oct","Nov","Dic")</f>
        <v>Feb</v>
      </c>
      <c r="G51" s="124">
        <v>2</v>
      </c>
      <c r="H51" s="124">
        <f>'PPTO 2027'!$J$20</f>
        <v>34000000</v>
      </c>
      <c r="I51" s="124">
        <f>'PPTO 2027'!$W$20</f>
        <v>38022200</v>
      </c>
      <c r="J51" s="124">
        <f t="shared" si="0"/>
        <v>4022200</v>
      </c>
      <c r="K51" s="124">
        <f t="shared" si="1"/>
        <v>4022200</v>
      </c>
      <c r="L51" s="124">
        <f t="shared" si="2"/>
        <v>0.1183</v>
      </c>
      <c r="M51" s="124">
        <f>IFERROR(INDEX(tReal27[[Ene]:[Dic]],MATCH(C51,tReal27[Cuenta],0),2),0)</f>
        <v>40855000</v>
      </c>
    </row>
    <row r="52" spans="1:13" x14ac:dyDescent="0.4">
      <c r="A52" s="124" t="str">
        <f>'PPTO 2027'!$E$20</f>
        <v>Operaciones</v>
      </c>
      <c r="B52" s="124" t="str">
        <f>'PPTO 2027'!$C$20</f>
        <v>Costo de ventas</v>
      </c>
      <c r="C52" s="124" t="str">
        <f>'PPTO 2027'!$B$20</f>
        <v>Fletes de compra</v>
      </c>
      <c r="D52" s="124" t="str">
        <f>'PPTO 2027'!$D$20</f>
        <v>Costo</v>
      </c>
      <c r="E52" s="124" t="str">
        <f>'PPTO 2027'!$F$20</f>
        <v>Costo variable</v>
      </c>
      <c r="F52" s="124" t="str">
        <f>CHOOSE(3,"Ene","Feb","Mar","Abr","May","Jun","Jul","Ago","Sep","Oct","Nov","Dic")</f>
        <v>Mar</v>
      </c>
      <c r="G52" s="124">
        <v>3</v>
      </c>
      <c r="H52" s="124">
        <f>'PPTO 2027'!$K$20</f>
        <v>38000000</v>
      </c>
      <c r="I52" s="124">
        <f>'PPTO 2027'!$X$20</f>
        <v>42495400</v>
      </c>
      <c r="J52" s="124">
        <f t="shared" si="0"/>
        <v>4495400</v>
      </c>
      <c r="K52" s="124">
        <f t="shared" si="1"/>
        <v>4495400</v>
      </c>
      <c r="L52" s="124">
        <f t="shared" si="2"/>
        <v>0.1183</v>
      </c>
      <c r="M52" s="124">
        <f>IFERROR(INDEX(tReal27[[Ene]:[Dic]],MATCH(C52,tReal27[Cuenta],0),3),0)</f>
        <v>45998000</v>
      </c>
    </row>
    <row r="53" spans="1:13" x14ac:dyDescent="0.4">
      <c r="A53" s="124" t="str">
        <f>'PPTO 2027'!$E$20</f>
        <v>Operaciones</v>
      </c>
      <c r="B53" s="124" t="str">
        <f>'PPTO 2027'!$C$20</f>
        <v>Costo de ventas</v>
      </c>
      <c r="C53" s="124" t="str">
        <f>'PPTO 2027'!$B$20</f>
        <v>Fletes de compra</v>
      </c>
      <c r="D53" s="124" t="str">
        <f>'PPTO 2027'!$D$20</f>
        <v>Costo</v>
      </c>
      <c r="E53" s="124" t="str">
        <f>'PPTO 2027'!$F$20</f>
        <v>Costo variable</v>
      </c>
      <c r="F53" s="124" t="str">
        <f>CHOOSE(4,"Ene","Feb","Mar","Abr","May","Jun","Jul","Ago","Sep","Oct","Nov","Dic")</f>
        <v>Abr</v>
      </c>
      <c r="G53" s="124">
        <v>4</v>
      </c>
      <c r="H53" s="124">
        <f>'PPTO 2027'!$L$20</f>
        <v>38000000</v>
      </c>
      <c r="I53" s="124">
        <f>'PPTO 2027'!$Y$20</f>
        <v>42495400</v>
      </c>
      <c r="J53" s="124">
        <f t="shared" si="0"/>
        <v>4495400</v>
      </c>
      <c r="K53" s="124">
        <f t="shared" si="1"/>
        <v>4495400</v>
      </c>
      <c r="L53" s="124">
        <f t="shared" si="2"/>
        <v>0.1183</v>
      </c>
      <c r="M53" s="124">
        <f>IFERROR(INDEX(tReal27[[Ene]:[Dic]],MATCH(C53,tReal27[Cuenta],0),4),0)</f>
        <v>45589000</v>
      </c>
    </row>
    <row r="54" spans="1:13" x14ac:dyDescent="0.4">
      <c r="A54" s="124" t="str">
        <f>'PPTO 2027'!$E$20</f>
        <v>Operaciones</v>
      </c>
      <c r="B54" s="124" t="str">
        <f>'PPTO 2027'!$C$20</f>
        <v>Costo de ventas</v>
      </c>
      <c r="C54" s="124" t="str">
        <f>'PPTO 2027'!$B$20</f>
        <v>Fletes de compra</v>
      </c>
      <c r="D54" s="124" t="str">
        <f>'PPTO 2027'!$D$20</f>
        <v>Costo</v>
      </c>
      <c r="E54" s="124" t="str">
        <f>'PPTO 2027'!$F$20</f>
        <v>Costo variable</v>
      </c>
      <c r="F54" s="124" t="str">
        <f>CHOOSE(5,"Ene","Feb","Mar","Abr","May","Jun","Jul","Ago","Sep","Oct","Nov","Dic")</f>
        <v>May</v>
      </c>
      <c r="G54" s="124">
        <v>5</v>
      </c>
      <c r="H54" s="124">
        <f>'PPTO 2027'!$M$20</f>
        <v>40000000</v>
      </c>
      <c r="I54" s="124">
        <f>'PPTO 2027'!$Z$20</f>
        <v>44732000</v>
      </c>
      <c r="J54" s="124">
        <f t="shared" si="0"/>
        <v>4732000</v>
      </c>
      <c r="K54" s="124">
        <f t="shared" si="1"/>
        <v>4732000</v>
      </c>
      <c r="L54" s="124">
        <f t="shared" si="2"/>
        <v>0.1183</v>
      </c>
      <c r="M54" s="124">
        <f>IFERROR(INDEX(tReal27[[Ene]:[Dic]],MATCH(C54,tReal27[Cuenta],0),5),0)</f>
        <v>47318000</v>
      </c>
    </row>
    <row r="55" spans="1:13" x14ac:dyDescent="0.4">
      <c r="A55" s="124" t="str">
        <f>'PPTO 2027'!$E$20</f>
        <v>Operaciones</v>
      </c>
      <c r="B55" s="124" t="str">
        <f>'PPTO 2027'!$C$20</f>
        <v>Costo de ventas</v>
      </c>
      <c r="C55" s="124" t="str">
        <f>'PPTO 2027'!$B$20</f>
        <v>Fletes de compra</v>
      </c>
      <c r="D55" s="124" t="str">
        <f>'PPTO 2027'!$D$20</f>
        <v>Costo</v>
      </c>
      <c r="E55" s="124" t="str">
        <f>'PPTO 2027'!$F$20</f>
        <v>Costo variable</v>
      </c>
      <c r="F55" s="124" t="str">
        <f>CHOOSE(6,"Ene","Feb","Mar","Abr","May","Jun","Jul","Ago","Sep","Oct","Nov","Dic")</f>
        <v>Jun</v>
      </c>
      <c r="G55" s="124">
        <v>6</v>
      </c>
      <c r="H55" s="124">
        <f>'PPTO 2027'!$N$20</f>
        <v>40000000</v>
      </c>
      <c r="I55" s="124">
        <f>'PPTO 2027'!$AA$20</f>
        <v>44732000</v>
      </c>
      <c r="J55" s="124">
        <f t="shared" si="0"/>
        <v>4732000</v>
      </c>
      <c r="K55" s="124">
        <f t="shared" si="1"/>
        <v>4732000</v>
      </c>
      <c r="L55" s="124">
        <f t="shared" si="2"/>
        <v>0.1183</v>
      </c>
      <c r="M55" s="124">
        <f>IFERROR(INDEX(tReal27[[Ene]:[Dic]],MATCH(C55,tReal27[Cuenta],0),6),0)</f>
        <v>47281000</v>
      </c>
    </row>
    <row r="56" spans="1:13" x14ac:dyDescent="0.4">
      <c r="A56" s="124" t="str">
        <f>'PPTO 2027'!$E$20</f>
        <v>Operaciones</v>
      </c>
      <c r="B56" s="124" t="str">
        <f>'PPTO 2027'!$C$20</f>
        <v>Costo de ventas</v>
      </c>
      <c r="C56" s="124" t="str">
        <f>'PPTO 2027'!$B$20</f>
        <v>Fletes de compra</v>
      </c>
      <c r="D56" s="124" t="str">
        <f>'PPTO 2027'!$D$20</f>
        <v>Costo</v>
      </c>
      <c r="E56" s="124" t="str">
        <f>'PPTO 2027'!$F$20</f>
        <v>Costo variable</v>
      </c>
      <c r="F56" s="124" t="str">
        <f>CHOOSE(7,"Ene","Feb","Mar","Abr","May","Jun","Jul","Ago","Sep","Oct","Nov","Dic")</f>
        <v>Jul</v>
      </c>
      <c r="G56" s="124">
        <v>7</v>
      </c>
      <c r="H56" s="124">
        <f>'PPTO 2027'!$O$20</f>
        <v>40000000</v>
      </c>
      <c r="I56" s="124">
        <f>'PPTO 2027'!$AB$20</f>
        <v>44732000</v>
      </c>
      <c r="J56" s="124">
        <f t="shared" si="0"/>
        <v>4732000</v>
      </c>
      <c r="K56" s="124">
        <f t="shared" si="1"/>
        <v>4732000</v>
      </c>
      <c r="L56" s="124">
        <f t="shared" si="2"/>
        <v>0.1183</v>
      </c>
      <c r="M56" s="124">
        <f>IFERROR(INDEX(tReal27[[Ene]:[Dic]],MATCH(C56,tReal27[Cuenta],0),7),0)</f>
        <v>47999000</v>
      </c>
    </row>
    <row r="57" spans="1:13" x14ac:dyDescent="0.4">
      <c r="A57" s="124" t="str">
        <f>'PPTO 2027'!$E$20</f>
        <v>Operaciones</v>
      </c>
      <c r="B57" s="124" t="str">
        <f>'PPTO 2027'!$C$20</f>
        <v>Costo de ventas</v>
      </c>
      <c r="C57" s="124" t="str">
        <f>'PPTO 2027'!$B$20</f>
        <v>Fletes de compra</v>
      </c>
      <c r="D57" s="124" t="str">
        <f>'PPTO 2027'!$D$20</f>
        <v>Costo</v>
      </c>
      <c r="E57" s="124" t="str">
        <f>'PPTO 2027'!$F$20</f>
        <v>Costo variable</v>
      </c>
      <c r="F57" s="124" t="str">
        <f>CHOOSE(8,"Ene","Feb","Mar","Abr","May","Jun","Jul","Ago","Sep","Oct","Nov","Dic")</f>
        <v>Ago</v>
      </c>
      <c r="G57" s="124">
        <v>8</v>
      </c>
      <c r="H57" s="124">
        <f>'PPTO 2027'!$P$20</f>
        <v>42000000</v>
      </c>
      <c r="I57" s="124">
        <f>'PPTO 2027'!$AC$20</f>
        <v>46968600</v>
      </c>
      <c r="J57" s="124">
        <f t="shared" si="0"/>
        <v>4968600</v>
      </c>
      <c r="K57" s="124">
        <f t="shared" si="1"/>
        <v>4968600</v>
      </c>
      <c r="L57" s="124">
        <f t="shared" si="2"/>
        <v>0.1183</v>
      </c>
      <c r="M57" s="124">
        <f>IFERROR(INDEX(tReal27[[Ene]:[Dic]],MATCH(C57,tReal27[Cuenta],0),8),0)</f>
        <v>50347000</v>
      </c>
    </row>
    <row r="58" spans="1:13" x14ac:dyDescent="0.4">
      <c r="A58" s="124" t="str">
        <f>'PPTO 2027'!$E$20</f>
        <v>Operaciones</v>
      </c>
      <c r="B58" s="124" t="str">
        <f>'PPTO 2027'!$C$20</f>
        <v>Costo de ventas</v>
      </c>
      <c r="C58" s="124" t="str">
        <f>'PPTO 2027'!$B$20</f>
        <v>Fletes de compra</v>
      </c>
      <c r="D58" s="124" t="str">
        <f>'PPTO 2027'!$D$20</f>
        <v>Costo</v>
      </c>
      <c r="E58" s="124" t="str">
        <f>'PPTO 2027'!$F$20</f>
        <v>Costo variable</v>
      </c>
      <c r="F58" s="124" t="str">
        <f>CHOOSE(9,"Ene","Feb","Mar","Abr","May","Jun","Jul","Ago","Sep","Oct","Nov","Dic")</f>
        <v>Sep</v>
      </c>
      <c r="G58" s="124">
        <v>9</v>
      </c>
      <c r="H58" s="124">
        <f>'PPTO 2027'!$Q$20</f>
        <v>40000000</v>
      </c>
      <c r="I58" s="124">
        <f>'PPTO 2027'!$AD$20</f>
        <v>44732000</v>
      </c>
      <c r="J58" s="124">
        <f t="shared" si="0"/>
        <v>4732000</v>
      </c>
      <c r="K58" s="124">
        <f t="shared" si="1"/>
        <v>4732000</v>
      </c>
      <c r="L58" s="124">
        <f t="shared" si="2"/>
        <v>0.1183</v>
      </c>
      <c r="M58" s="124">
        <f>IFERROR(INDEX(tReal27[[Ene]:[Dic]],MATCH(C58,tReal27[Cuenta],0),9),0)</f>
        <v>47220000</v>
      </c>
    </row>
    <row r="59" spans="1:13" x14ac:dyDescent="0.4">
      <c r="A59" s="124" t="str">
        <f>'PPTO 2027'!$E$20</f>
        <v>Operaciones</v>
      </c>
      <c r="B59" s="124" t="str">
        <f>'PPTO 2027'!$C$20</f>
        <v>Costo de ventas</v>
      </c>
      <c r="C59" s="124" t="str">
        <f>'PPTO 2027'!$B$20</f>
        <v>Fletes de compra</v>
      </c>
      <c r="D59" s="124" t="str">
        <f>'PPTO 2027'!$D$20</f>
        <v>Costo</v>
      </c>
      <c r="E59" s="124" t="str">
        <f>'PPTO 2027'!$F$20</f>
        <v>Costo variable</v>
      </c>
      <c r="F59" s="124" t="str">
        <f>CHOOSE(10,"Ene","Feb","Mar","Abr","May","Jun","Jul","Ago","Sep","Oct","Nov","Dic")</f>
        <v>Oct</v>
      </c>
      <c r="G59" s="124">
        <v>10</v>
      </c>
      <c r="H59" s="124">
        <f>'PPTO 2027'!$R$20</f>
        <v>42000000</v>
      </c>
      <c r="I59" s="124">
        <f>'PPTO 2027'!$AE$20</f>
        <v>46968600</v>
      </c>
      <c r="J59" s="124">
        <f t="shared" si="0"/>
        <v>4968600</v>
      </c>
      <c r="K59" s="124">
        <f t="shared" si="1"/>
        <v>4968600</v>
      </c>
      <c r="L59" s="124">
        <f t="shared" si="2"/>
        <v>0.1183</v>
      </c>
      <c r="M59" s="124">
        <f>IFERROR(INDEX(tReal27[[Ene]:[Dic]],MATCH(C59,tReal27[Cuenta],0),10),0)</f>
        <v>49564000</v>
      </c>
    </row>
    <row r="60" spans="1:13" x14ac:dyDescent="0.4">
      <c r="A60" s="124" t="str">
        <f>'PPTO 2027'!$E$20</f>
        <v>Operaciones</v>
      </c>
      <c r="B60" s="124" t="str">
        <f>'PPTO 2027'!$C$20</f>
        <v>Costo de ventas</v>
      </c>
      <c r="C60" s="124" t="str">
        <f>'PPTO 2027'!$B$20</f>
        <v>Fletes de compra</v>
      </c>
      <c r="D60" s="124" t="str">
        <f>'PPTO 2027'!$D$20</f>
        <v>Costo</v>
      </c>
      <c r="E60" s="124" t="str">
        <f>'PPTO 2027'!$F$20</f>
        <v>Costo variable</v>
      </c>
      <c r="F60" s="124" t="str">
        <f>CHOOSE(11,"Ene","Feb","Mar","Abr","May","Jun","Jul","Ago","Sep","Oct","Nov","Dic")</f>
        <v>Nov</v>
      </c>
      <c r="G60" s="124">
        <v>11</v>
      </c>
      <c r="H60" s="124">
        <f>'PPTO 2027'!$S$20</f>
        <v>46000000</v>
      </c>
      <c r="I60" s="124">
        <f>'PPTO 2027'!$AF$20</f>
        <v>51441800</v>
      </c>
      <c r="J60" s="124">
        <f t="shared" si="0"/>
        <v>5441800</v>
      </c>
      <c r="K60" s="124">
        <f t="shared" si="1"/>
        <v>5441800</v>
      </c>
      <c r="L60" s="124">
        <f t="shared" si="2"/>
        <v>0.1183</v>
      </c>
      <c r="M60" s="124">
        <f>IFERROR(INDEX(tReal27[[Ene]:[Dic]],MATCH(C60,tReal27[Cuenta],0),11),0)</f>
        <v>54976000</v>
      </c>
    </row>
    <row r="61" spans="1:13" x14ac:dyDescent="0.4">
      <c r="A61" s="124" t="str">
        <f>'PPTO 2027'!$E$20</f>
        <v>Operaciones</v>
      </c>
      <c r="B61" s="124" t="str">
        <f>'PPTO 2027'!$C$20</f>
        <v>Costo de ventas</v>
      </c>
      <c r="C61" s="124" t="str">
        <f>'PPTO 2027'!$B$20</f>
        <v>Fletes de compra</v>
      </c>
      <c r="D61" s="124" t="str">
        <f>'PPTO 2027'!$D$20</f>
        <v>Costo</v>
      </c>
      <c r="E61" s="124" t="str">
        <f>'PPTO 2027'!$F$20</f>
        <v>Costo variable</v>
      </c>
      <c r="F61" s="124" t="str">
        <f>CHOOSE(12,"Ene","Feb","Mar","Abr","May","Jun","Jul","Ago","Sep","Oct","Nov","Dic")</f>
        <v>Dic</v>
      </c>
      <c r="G61" s="124">
        <v>12</v>
      </c>
      <c r="H61" s="124">
        <f>'PPTO 2027'!$T$20</f>
        <v>48000000</v>
      </c>
      <c r="I61" s="124">
        <f>'PPTO 2027'!$AG$20</f>
        <v>53678400</v>
      </c>
      <c r="J61" s="124">
        <f t="shared" si="0"/>
        <v>5678400</v>
      </c>
      <c r="K61" s="124">
        <f t="shared" si="1"/>
        <v>5678400</v>
      </c>
      <c r="L61" s="124">
        <f t="shared" si="2"/>
        <v>0.1183</v>
      </c>
      <c r="M61" s="124">
        <f>IFERROR(INDEX(tReal27[[Ene]:[Dic]],MATCH(C61,tReal27[Cuenta],0),12),0)</f>
        <v>57551000</v>
      </c>
    </row>
    <row r="62" spans="1:13" x14ac:dyDescent="0.4">
      <c r="A62" s="124" t="str">
        <f>'PPTO 2027'!$E$21</f>
        <v>Operaciones</v>
      </c>
      <c r="B62" s="124" t="str">
        <f>'PPTO 2027'!$C$21</f>
        <v>Costo de ventas</v>
      </c>
      <c r="C62" s="124" t="str">
        <f>'PPTO 2027'!$B$21</f>
        <v>Mermas y averías</v>
      </c>
      <c r="D62" s="124" t="str">
        <f>'PPTO 2027'!$D$21</f>
        <v>Costo</v>
      </c>
      <c r="E62" s="124" t="str">
        <f>'PPTO 2027'!$F$21</f>
        <v>Costo variable</v>
      </c>
      <c r="F62" s="124" t="str">
        <f>CHOOSE(1,"Ene","Feb","Mar","Abr","May","Jun","Jul","Ago","Sep","Oct","Nov","Dic")</f>
        <v>Ene</v>
      </c>
      <c r="G62" s="124">
        <v>1</v>
      </c>
      <c r="H62" s="124">
        <f>'PPTO 2027'!$I$21</f>
        <v>10000000</v>
      </c>
      <c r="I62" s="124">
        <f>'PPTO 2027'!$V$21</f>
        <v>11183000</v>
      </c>
      <c r="J62" s="124">
        <f t="shared" si="0"/>
        <v>1183000</v>
      </c>
      <c r="K62" s="124">
        <f t="shared" si="1"/>
        <v>1183000</v>
      </c>
      <c r="L62" s="124">
        <f t="shared" si="2"/>
        <v>0.1183</v>
      </c>
      <c r="M62" s="124">
        <f>IFERROR(INDEX(tReal27[[Ene]:[Dic]],MATCH(C62,tReal27[Cuenta],0),1),0)</f>
        <v>11415000</v>
      </c>
    </row>
    <row r="63" spans="1:13" x14ac:dyDescent="0.4">
      <c r="A63" s="124" t="str">
        <f>'PPTO 2027'!$E$21</f>
        <v>Operaciones</v>
      </c>
      <c r="B63" s="124" t="str">
        <f>'PPTO 2027'!$C$21</f>
        <v>Costo de ventas</v>
      </c>
      <c r="C63" s="124" t="str">
        <f>'PPTO 2027'!$B$21</f>
        <v>Mermas y averías</v>
      </c>
      <c r="D63" s="124" t="str">
        <f>'PPTO 2027'!$D$21</f>
        <v>Costo</v>
      </c>
      <c r="E63" s="124" t="str">
        <f>'PPTO 2027'!$F$21</f>
        <v>Costo variable</v>
      </c>
      <c r="F63" s="124" t="str">
        <f>CHOOSE(2,"Ene","Feb","Mar","Abr","May","Jun","Jul","Ago","Sep","Oct","Nov","Dic")</f>
        <v>Feb</v>
      </c>
      <c r="G63" s="124">
        <v>2</v>
      </c>
      <c r="H63" s="124">
        <f>'PPTO 2027'!$J$21</f>
        <v>10600000</v>
      </c>
      <c r="I63" s="124">
        <f>'PPTO 2027'!$W$21</f>
        <v>11853980</v>
      </c>
      <c r="J63" s="124">
        <f t="shared" si="0"/>
        <v>1253980</v>
      </c>
      <c r="K63" s="124">
        <f t="shared" si="1"/>
        <v>1253980</v>
      </c>
      <c r="L63" s="124">
        <f t="shared" si="2"/>
        <v>0.1183</v>
      </c>
      <c r="M63" s="124">
        <f>IFERROR(INDEX(tReal27[[Ene]:[Dic]],MATCH(C63,tReal27[Cuenta],0),2),0)</f>
        <v>11898000</v>
      </c>
    </row>
    <row r="64" spans="1:13" x14ac:dyDescent="0.4">
      <c r="A64" s="124" t="str">
        <f>'PPTO 2027'!$E$21</f>
        <v>Operaciones</v>
      </c>
      <c r="B64" s="124" t="str">
        <f>'PPTO 2027'!$C$21</f>
        <v>Costo de ventas</v>
      </c>
      <c r="C64" s="124" t="str">
        <f>'PPTO 2027'!$B$21</f>
        <v>Mermas y averías</v>
      </c>
      <c r="D64" s="124" t="str">
        <f>'PPTO 2027'!$D$21</f>
        <v>Costo</v>
      </c>
      <c r="E64" s="124" t="str">
        <f>'PPTO 2027'!$F$21</f>
        <v>Costo variable</v>
      </c>
      <c r="F64" s="124" t="str">
        <f>CHOOSE(3,"Ene","Feb","Mar","Abr","May","Jun","Jul","Ago","Sep","Oct","Nov","Dic")</f>
        <v>Mar</v>
      </c>
      <c r="G64" s="124">
        <v>3</v>
      </c>
      <c r="H64" s="124">
        <f>'PPTO 2027'!$K$21</f>
        <v>11900000</v>
      </c>
      <c r="I64" s="124">
        <f>'PPTO 2027'!$X$21</f>
        <v>13307770</v>
      </c>
      <c r="J64" s="124">
        <f t="shared" si="0"/>
        <v>1407770</v>
      </c>
      <c r="K64" s="124">
        <f t="shared" si="1"/>
        <v>1407770</v>
      </c>
      <c r="L64" s="124">
        <f t="shared" si="2"/>
        <v>0.1183</v>
      </c>
      <c r="M64" s="124">
        <f>IFERROR(INDEX(tReal27[[Ene]:[Dic]],MATCH(C64,tReal27[Cuenta],0),3),0)</f>
        <v>13149000</v>
      </c>
    </row>
    <row r="65" spans="1:13" x14ac:dyDescent="0.4">
      <c r="A65" s="124" t="str">
        <f>'PPTO 2027'!$E$21</f>
        <v>Operaciones</v>
      </c>
      <c r="B65" s="124" t="str">
        <f>'PPTO 2027'!$C$21</f>
        <v>Costo de ventas</v>
      </c>
      <c r="C65" s="124" t="str">
        <f>'PPTO 2027'!$B$21</f>
        <v>Mermas y averías</v>
      </c>
      <c r="D65" s="124" t="str">
        <f>'PPTO 2027'!$D$21</f>
        <v>Costo</v>
      </c>
      <c r="E65" s="124" t="str">
        <f>'PPTO 2027'!$F$21</f>
        <v>Costo variable</v>
      </c>
      <c r="F65" s="124" t="str">
        <f>CHOOSE(4,"Ene","Feb","Mar","Abr","May","Jun","Jul","Ago","Sep","Oct","Nov","Dic")</f>
        <v>Abr</v>
      </c>
      <c r="G65" s="124">
        <v>4</v>
      </c>
      <c r="H65" s="124">
        <f>'PPTO 2027'!$L$21</f>
        <v>11900000</v>
      </c>
      <c r="I65" s="124">
        <f>'PPTO 2027'!$Y$21</f>
        <v>13307770</v>
      </c>
      <c r="J65" s="124">
        <f t="shared" si="0"/>
        <v>1407770</v>
      </c>
      <c r="K65" s="124">
        <f t="shared" si="1"/>
        <v>1407770</v>
      </c>
      <c r="L65" s="124">
        <f t="shared" si="2"/>
        <v>0.1183</v>
      </c>
      <c r="M65" s="124">
        <f>IFERROR(INDEX(tReal27[[Ene]:[Dic]],MATCH(C65,tReal27[Cuenta],0),4),0)</f>
        <v>13128000</v>
      </c>
    </row>
    <row r="66" spans="1:13" x14ac:dyDescent="0.4">
      <c r="A66" s="124" t="str">
        <f>'PPTO 2027'!$E$21</f>
        <v>Operaciones</v>
      </c>
      <c r="B66" s="124" t="str">
        <f>'PPTO 2027'!$C$21</f>
        <v>Costo de ventas</v>
      </c>
      <c r="C66" s="124" t="str">
        <f>'PPTO 2027'!$B$21</f>
        <v>Mermas y averías</v>
      </c>
      <c r="D66" s="124" t="str">
        <f>'PPTO 2027'!$D$21</f>
        <v>Costo</v>
      </c>
      <c r="E66" s="124" t="str">
        <f>'PPTO 2027'!$F$21</f>
        <v>Costo variable</v>
      </c>
      <c r="F66" s="124" t="str">
        <f>CHOOSE(5,"Ene","Feb","Mar","Abr","May","Jun","Jul","Ago","Sep","Oct","Nov","Dic")</f>
        <v>May</v>
      </c>
      <c r="G66" s="124">
        <v>5</v>
      </c>
      <c r="H66" s="124">
        <f>'PPTO 2027'!$M$21</f>
        <v>12500000</v>
      </c>
      <c r="I66" s="124">
        <f>'PPTO 2027'!$Z$21</f>
        <v>13978750</v>
      </c>
      <c r="J66" s="124">
        <f t="shared" ref="J66:J129" si="3">I66-H66</f>
        <v>1478750</v>
      </c>
      <c r="K66" s="124">
        <f t="shared" ref="K66:K129" si="4">ABS(J66)</f>
        <v>1478750</v>
      </c>
      <c r="L66" s="124">
        <f t="shared" ref="L66:L129" si="5">IF(H66=0,"",J66/H66)</f>
        <v>0.1183</v>
      </c>
      <c r="M66" s="124">
        <f>IFERROR(INDEX(tReal27[[Ene]:[Dic]],MATCH(C66,tReal27[Cuenta],0),5),0)</f>
        <v>13589000</v>
      </c>
    </row>
    <row r="67" spans="1:13" x14ac:dyDescent="0.4">
      <c r="A67" s="124" t="str">
        <f>'PPTO 2027'!$E$21</f>
        <v>Operaciones</v>
      </c>
      <c r="B67" s="124" t="str">
        <f>'PPTO 2027'!$C$21</f>
        <v>Costo de ventas</v>
      </c>
      <c r="C67" s="124" t="str">
        <f>'PPTO 2027'!$B$21</f>
        <v>Mermas y averías</v>
      </c>
      <c r="D67" s="124" t="str">
        <f>'PPTO 2027'!$D$21</f>
        <v>Costo</v>
      </c>
      <c r="E67" s="124" t="str">
        <f>'PPTO 2027'!$F$21</f>
        <v>Costo variable</v>
      </c>
      <c r="F67" s="124" t="str">
        <f>CHOOSE(6,"Ene","Feb","Mar","Abr","May","Jun","Jul","Ago","Sep","Oct","Nov","Dic")</f>
        <v>Jun</v>
      </c>
      <c r="G67" s="124">
        <v>6</v>
      </c>
      <c r="H67" s="124">
        <f>'PPTO 2027'!$N$21</f>
        <v>12500000</v>
      </c>
      <c r="I67" s="124">
        <f>'PPTO 2027'!$AA$21</f>
        <v>13978750</v>
      </c>
      <c r="J67" s="124">
        <f t="shared" si="3"/>
        <v>1478750</v>
      </c>
      <c r="K67" s="124">
        <f t="shared" si="4"/>
        <v>1478750</v>
      </c>
      <c r="L67" s="124">
        <f t="shared" si="5"/>
        <v>0.1183</v>
      </c>
      <c r="M67" s="124">
        <f>IFERROR(INDEX(tReal27[[Ene]:[Dic]],MATCH(C67,tReal27[Cuenta],0),6),0)</f>
        <v>13975000</v>
      </c>
    </row>
    <row r="68" spans="1:13" x14ac:dyDescent="0.4">
      <c r="A68" s="124" t="str">
        <f>'PPTO 2027'!$E$21</f>
        <v>Operaciones</v>
      </c>
      <c r="B68" s="124" t="str">
        <f>'PPTO 2027'!$C$21</f>
        <v>Costo de ventas</v>
      </c>
      <c r="C68" s="124" t="str">
        <f>'PPTO 2027'!$B$21</f>
        <v>Mermas y averías</v>
      </c>
      <c r="D68" s="124" t="str">
        <f>'PPTO 2027'!$D$21</f>
        <v>Costo</v>
      </c>
      <c r="E68" s="124" t="str">
        <f>'PPTO 2027'!$F$21</f>
        <v>Costo variable</v>
      </c>
      <c r="F68" s="124" t="str">
        <f>CHOOSE(7,"Ene","Feb","Mar","Abr","May","Jun","Jul","Ago","Sep","Oct","Nov","Dic")</f>
        <v>Jul</v>
      </c>
      <c r="G68" s="124">
        <v>7</v>
      </c>
      <c r="H68" s="124">
        <f>'PPTO 2027'!$O$21</f>
        <v>12500000</v>
      </c>
      <c r="I68" s="124">
        <f>'PPTO 2027'!$AB$21</f>
        <v>13978750</v>
      </c>
      <c r="J68" s="124">
        <f t="shared" si="3"/>
        <v>1478750</v>
      </c>
      <c r="K68" s="124">
        <f t="shared" si="4"/>
        <v>1478750</v>
      </c>
      <c r="L68" s="124">
        <f t="shared" si="5"/>
        <v>0.1183</v>
      </c>
      <c r="M68" s="124">
        <f>IFERROR(INDEX(tReal27[[Ene]:[Dic]],MATCH(C68,tReal27[Cuenta],0),7),0)</f>
        <v>13599000</v>
      </c>
    </row>
    <row r="69" spans="1:13" x14ac:dyDescent="0.4">
      <c r="A69" s="124" t="str">
        <f>'PPTO 2027'!$E$21</f>
        <v>Operaciones</v>
      </c>
      <c r="B69" s="124" t="str">
        <f>'PPTO 2027'!$C$21</f>
        <v>Costo de ventas</v>
      </c>
      <c r="C69" s="124" t="str">
        <f>'PPTO 2027'!$B$21</f>
        <v>Mermas y averías</v>
      </c>
      <c r="D69" s="124" t="str">
        <f>'PPTO 2027'!$D$21</f>
        <v>Costo</v>
      </c>
      <c r="E69" s="124" t="str">
        <f>'PPTO 2027'!$F$21</f>
        <v>Costo variable</v>
      </c>
      <c r="F69" s="124" t="str">
        <f>CHOOSE(8,"Ene","Feb","Mar","Abr","May","Jun","Jul","Ago","Sep","Oct","Nov","Dic")</f>
        <v>Ago</v>
      </c>
      <c r="G69" s="124">
        <v>8</v>
      </c>
      <c r="H69" s="124">
        <f>'PPTO 2027'!$P$21</f>
        <v>13100000</v>
      </c>
      <c r="I69" s="124">
        <f>'PPTO 2027'!$AC$21</f>
        <v>14649730.000000002</v>
      </c>
      <c r="J69" s="124">
        <f t="shared" si="3"/>
        <v>1549730.0000000019</v>
      </c>
      <c r="K69" s="124">
        <f t="shared" si="4"/>
        <v>1549730.0000000019</v>
      </c>
      <c r="L69" s="124">
        <f t="shared" si="5"/>
        <v>0.11830000000000014</v>
      </c>
      <c r="M69" s="124">
        <f>IFERROR(INDEX(tReal27[[Ene]:[Dic]],MATCH(C69,tReal27[Cuenta],0),8),0)</f>
        <v>14745000</v>
      </c>
    </row>
    <row r="70" spans="1:13" x14ac:dyDescent="0.4">
      <c r="A70" s="124" t="str">
        <f>'PPTO 2027'!$E$21</f>
        <v>Operaciones</v>
      </c>
      <c r="B70" s="124" t="str">
        <f>'PPTO 2027'!$C$21</f>
        <v>Costo de ventas</v>
      </c>
      <c r="C70" s="124" t="str">
        <f>'PPTO 2027'!$B$21</f>
        <v>Mermas y averías</v>
      </c>
      <c r="D70" s="124" t="str">
        <f>'PPTO 2027'!$D$21</f>
        <v>Costo</v>
      </c>
      <c r="E70" s="124" t="str">
        <f>'PPTO 2027'!$F$21</f>
        <v>Costo variable</v>
      </c>
      <c r="F70" s="124" t="str">
        <f>CHOOSE(9,"Ene","Feb","Mar","Abr","May","Jun","Jul","Ago","Sep","Oct","Nov","Dic")</f>
        <v>Sep</v>
      </c>
      <c r="G70" s="124">
        <v>9</v>
      </c>
      <c r="H70" s="124">
        <f>'PPTO 2027'!$Q$21</f>
        <v>12500000</v>
      </c>
      <c r="I70" s="124">
        <f>'PPTO 2027'!$AD$21</f>
        <v>13978750</v>
      </c>
      <c r="J70" s="124">
        <f t="shared" si="3"/>
        <v>1478750</v>
      </c>
      <c r="K70" s="124">
        <f t="shared" si="4"/>
        <v>1478750</v>
      </c>
      <c r="L70" s="124">
        <f t="shared" si="5"/>
        <v>0.1183</v>
      </c>
      <c r="M70" s="124">
        <f>IFERROR(INDEX(tReal27[[Ene]:[Dic]],MATCH(C70,tReal27[Cuenta],0),9),0)</f>
        <v>13881000</v>
      </c>
    </row>
    <row r="71" spans="1:13" x14ac:dyDescent="0.4">
      <c r="A71" s="124" t="str">
        <f>'PPTO 2027'!$E$21</f>
        <v>Operaciones</v>
      </c>
      <c r="B71" s="124" t="str">
        <f>'PPTO 2027'!$C$21</f>
        <v>Costo de ventas</v>
      </c>
      <c r="C71" s="124" t="str">
        <f>'PPTO 2027'!$B$21</f>
        <v>Mermas y averías</v>
      </c>
      <c r="D71" s="124" t="str">
        <f>'PPTO 2027'!$D$21</f>
        <v>Costo</v>
      </c>
      <c r="E71" s="124" t="str">
        <f>'PPTO 2027'!$F$21</f>
        <v>Costo variable</v>
      </c>
      <c r="F71" s="124" t="str">
        <f>CHOOSE(10,"Ene","Feb","Mar","Abr","May","Jun","Jul","Ago","Sep","Oct","Nov","Dic")</f>
        <v>Oct</v>
      </c>
      <c r="G71" s="124">
        <v>10</v>
      </c>
      <c r="H71" s="124">
        <f>'PPTO 2027'!$R$21</f>
        <v>13100000</v>
      </c>
      <c r="I71" s="124">
        <f>'PPTO 2027'!$AE$21</f>
        <v>14649730.000000002</v>
      </c>
      <c r="J71" s="124">
        <f t="shared" si="3"/>
        <v>1549730.0000000019</v>
      </c>
      <c r="K71" s="124">
        <f t="shared" si="4"/>
        <v>1549730.0000000019</v>
      </c>
      <c r="L71" s="124">
        <f t="shared" si="5"/>
        <v>0.11830000000000014</v>
      </c>
      <c r="M71" s="124">
        <f>IFERROR(INDEX(tReal27[[Ene]:[Dic]],MATCH(C71,tReal27[Cuenta],0),10),0)</f>
        <v>14746000</v>
      </c>
    </row>
    <row r="72" spans="1:13" x14ac:dyDescent="0.4">
      <c r="A72" s="124" t="str">
        <f>'PPTO 2027'!$E$21</f>
        <v>Operaciones</v>
      </c>
      <c r="B72" s="124" t="str">
        <f>'PPTO 2027'!$C$21</f>
        <v>Costo de ventas</v>
      </c>
      <c r="C72" s="124" t="str">
        <f>'PPTO 2027'!$B$21</f>
        <v>Mermas y averías</v>
      </c>
      <c r="D72" s="124" t="str">
        <f>'PPTO 2027'!$D$21</f>
        <v>Costo</v>
      </c>
      <c r="E72" s="124" t="str">
        <f>'PPTO 2027'!$F$21</f>
        <v>Costo variable</v>
      </c>
      <c r="F72" s="124" t="str">
        <f>CHOOSE(11,"Ene","Feb","Mar","Abr","May","Jun","Jul","Ago","Sep","Oct","Nov","Dic")</f>
        <v>Nov</v>
      </c>
      <c r="G72" s="124">
        <v>11</v>
      </c>
      <c r="H72" s="124">
        <f>'PPTO 2027'!$S$21</f>
        <v>14400000</v>
      </c>
      <c r="I72" s="124">
        <f>'PPTO 2027'!$AF$21</f>
        <v>16103520.000000002</v>
      </c>
      <c r="J72" s="124">
        <f t="shared" si="3"/>
        <v>1703520.0000000019</v>
      </c>
      <c r="K72" s="124">
        <f t="shared" si="4"/>
        <v>1703520.0000000019</v>
      </c>
      <c r="L72" s="124">
        <f t="shared" si="5"/>
        <v>0.11830000000000013</v>
      </c>
      <c r="M72" s="124">
        <f>IFERROR(INDEX(tReal27[[Ene]:[Dic]],MATCH(C72,tReal27[Cuenta],0),11),0)</f>
        <v>15926000</v>
      </c>
    </row>
    <row r="73" spans="1:13" x14ac:dyDescent="0.4">
      <c r="A73" s="124" t="str">
        <f>'PPTO 2027'!$E$21</f>
        <v>Operaciones</v>
      </c>
      <c r="B73" s="124" t="str">
        <f>'PPTO 2027'!$C$21</f>
        <v>Costo de ventas</v>
      </c>
      <c r="C73" s="124" t="str">
        <f>'PPTO 2027'!$B$21</f>
        <v>Mermas y averías</v>
      </c>
      <c r="D73" s="124" t="str">
        <f>'PPTO 2027'!$D$21</f>
        <v>Costo</v>
      </c>
      <c r="E73" s="124" t="str">
        <f>'PPTO 2027'!$F$21</f>
        <v>Costo variable</v>
      </c>
      <c r="F73" s="124" t="str">
        <f>CHOOSE(12,"Ene","Feb","Mar","Abr","May","Jun","Jul","Ago","Sep","Oct","Nov","Dic")</f>
        <v>Dic</v>
      </c>
      <c r="G73" s="124">
        <v>12</v>
      </c>
      <c r="H73" s="124">
        <f>'PPTO 2027'!$T$21</f>
        <v>15000000</v>
      </c>
      <c r="I73" s="124">
        <f>'PPTO 2027'!$AG$21</f>
        <v>16774500.000000002</v>
      </c>
      <c r="J73" s="124">
        <f t="shared" si="3"/>
        <v>1774500.0000000019</v>
      </c>
      <c r="K73" s="124">
        <f t="shared" si="4"/>
        <v>1774500.0000000019</v>
      </c>
      <c r="L73" s="124">
        <f t="shared" si="5"/>
        <v>0.11830000000000013</v>
      </c>
      <c r="M73" s="124">
        <f>IFERROR(INDEX(tReal27[[Ene]:[Dic]],MATCH(C73,tReal27[Cuenta],0),12),0)</f>
        <v>16801000</v>
      </c>
    </row>
    <row r="74" spans="1:13" x14ac:dyDescent="0.4">
      <c r="A74" s="124" t="str">
        <f>'PPTO 2027'!$E$27</f>
        <v>Administración</v>
      </c>
      <c r="B74" s="124" t="str">
        <f>'PPTO 2027'!$C$27</f>
        <v>Gastos de administración</v>
      </c>
      <c r="C74" s="124" t="str">
        <f>'PPTO 2027'!$B$27</f>
        <v>Nómina administrativa</v>
      </c>
      <c r="D74" s="124" t="str">
        <f>'PPTO 2027'!$D$27</f>
        <v>Gasto</v>
      </c>
      <c r="E74" s="124" t="str">
        <f>'PPTO 2027'!$F$27</f>
        <v>Nómina</v>
      </c>
      <c r="F74" s="124" t="str">
        <f>CHOOSE(1,"Ene","Feb","Mar","Abr","May","Jun","Jul","Ago","Sep","Oct","Nov","Dic")</f>
        <v>Ene</v>
      </c>
      <c r="G74" s="124">
        <v>1</v>
      </c>
      <c r="H74" s="124">
        <f>'PPTO 2027'!$I$27</f>
        <v>50000000</v>
      </c>
      <c r="I74" s="124">
        <f>'PPTO 2027'!$V$27</f>
        <v>53500000</v>
      </c>
      <c r="J74" s="124">
        <f t="shared" si="3"/>
        <v>3500000</v>
      </c>
      <c r="K74" s="124">
        <f t="shared" si="4"/>
        <v>3500000</v>
      </c>
      <c r="L74" s="124">
        <f t="shared" si="5"/>
        <v>7.0000000000000007E-2</v>
      </c>
      <c r="M74" s="124">
        <f>IFERROR(INDEX(tReal27[[Ene]:[Dic]],MATCH(C74,tReal27[Cuenta],0),1),0)</f>
        <v>54372000</v>
      </c>
    </row>
    <row r="75" spans="1:13" x14ac:dyDescent="0.4">
      <c r="A75" s="124" t="str">
        <f>'PPTO 2027'!$E$27</f>
        <v>Administración</v>
      </c>
      <c r="B75" s="124" t="str">
        <f>'PPTO 2027'!$C$27</f>
        <v>Gastos de administración</v>
      </c>
      <c r="C75" s="124" t="str">
        <f>'PPTO 2027'!$B$27</f>
        <v>Nómina administrativa</v>
      </c>
      <c r="D75" s="124" t="str">
        <f>'PPTO 2027'!$D$27</f>
        <v>Gasto</v>
      </c>
      <c r="E75" s="124" t="str">
        <f>'PPTO 2027'!$F$27</f>
        <v>Nómina</v>
      </c>
      <c r="F75" s="124" t="str">
        <f>CHOOSE(2,"Ene","Feb","Mar","Abr","May","Jun","Jul","Ago","Sep","Oct","Nov","Dic")</f>
        <v>Feb</v>
      </c>
      <c r="G75" s="124">
        <v>2</v>
      </c>
      <c r="H75" s="124">
        <f>'PPTO 2027'!$J$27</f>
        <v>50000000</v>
      </c>
      <c r="I75" s="124">
        <f>'PPTO 2027'!$W$27</f>
        <v>53500000</v>
      </c>
      <c r="J75" s="124">
        <f t="shared" si="3"/>
        <v>3500000</v>
      </c>
      <c r="K75" s="124">
        <f t="shared" si="4"/>
        <v>3500000</v>
      </c>
      <c r="L75" s="124">
        <f t="shared" si="5"/>
        <v>7.0000000000000007E-2</v>
      </c>
      <c r="M75" s="124">
        <f>IFERROR(INDEX(tReal27[[Ene]:[Dic]],MATCH(C75,tReal27[Cuenta],0),2),0)</f>
        <v>53128000</v>
      </c>
    </row>
    <row r="76" spans="1:13" x14ac:dyDescent="0.4">
      <c r="A76" s="124" t="str">
        <f>'PPTO 2027'!$E$27</f>
        <v>Administración</v>
      </c>
      <c r="B76" s="124" t="str">
        <f>'PPTO 2027'!$C$27</f>
        <v>Gastos de administración</v>
      </c>
      <c r="C76" s="124" t="str">
        <f>'PPTO 2027'!$B$27</f>
        <v>Nómina administrativa</v>
      </c>
      <c r="D76" s="124" t="str">
        <f>'PPTO 2027'!$D$27</f>
        <v>Gasto</v>
      </c>
      <c r="E76" s="124" t="str">
        <f>'PPTO 2027'!$F$27</f>
        <v>Nómina</v>
      </c>
      <c r="F76" s="124" t="str">
        <f>CHOOSE(3,"Ene","Feb","Mar","Abr","May","Jun","Jul","Ago","Sep","Oct","Nov","Dic")</f>
        <v>Mar</v>
      </c>
      <c r="G76" s="124">
        <v>3</v>
      </c>
      <c r="H76" s="124">
        <f>'PPTO 2027'!$K$27</f>
        <v>50000000</v>
      </c>
      <c r="I76" s="124">
        <f>'PPTO 2027'!$X$27</f>
        <v>53500000</v>
      </c>
      <c r="J76" s="124">
        <f t="shared" si="3"/>
        <v>3500000</v>
      </c>
      <c r="K76" s="124">
        <f t="shared" si="4"/>
        <v>3500000</v>
      </c>
      <c r="L76" s="124">
        <f t="shared" si="5"/>
        <v>7.0000000000000007E-2</v>
      </c>
      <c r="M76" s="124">
        <f>IFERROR(INDEX(tReal27[[Ene]:[Dic]],MATCH(C76,tReal27[Cuenta],0),3),0)</f>
        <v>53226000</v>
      </c>
    </row>
    <row r="77" spans="1:13" x14ac:dyDescent="0.4">
      <c r="A77" s="124" t="str">
        <f>'PPTO 2027'!$E$27</f>
        <v>Administración</v>
      </c>
      <c r="B77" s="124" t="str">
        <f>'PPTO 2027'!$C$27</f>
        <v>Gastos de administración</v>
      </c>
      <c r="C77" s="124" t="str">
        <f>'PPTO 2027'!$B$27</f>
        <v>Nómina administrativa</v>
      </c>
      <c r="D77" s="124" t="str">
        <f>'PPTO 2027'!$D$27</f>
        <v>Gasto</v>
      </c>
      <c r="E77" s="124" t="str">
        <f>'PPTO 2027'!$F$27</f>
        <v>Nómina</v>
      </c>
      <c r="F77" s="124" t="str">
        <f>CHOOSE(4,"Ene","Feb","Mar","Abr","May","Jun","Jul","Ago","Sep","Oct","Nov","Dic")</f>
        <v>Abr</v>
      </c>
      <c r="G77" s="124">
        <v>4</v>
      </c>
      <c r="H77" s="124">
        <f>'PPTO 2027'!$L$27</f>
        <v>50000000</v>
      </c>
      <c r="I77" s="124">
        <f>'PPTO 2027'!$Y$27</f>
        <v>53500000</v>
      </c>
      <c r="J77" s="124">
        <f t="shared" si="3"/>
        <v>3500000</v>
      </c>
      <c r="K77" s="124">
        <f t="shared" si="4"/>
        <v>3500000</v>
      </c>
      <c r="L77" s="124">
        <f t="shared" si="5"/>
        <v>7.0000000000000007E-2</v>
      </c>
      <c r="M77" s="124">
        <f>IFERROR(INDEX(tReal27[[Ene]:[Dic]],MATCH(C77,tReal27[Cuenta],0),4),0)</f>
        <v>53441000</v>
      </c>
    </row>
    <row r="78" spans="1:13" x14ac:dyDescent="0.4">
      <c r="A78" s="124" t="str">
        <f>'PPTO 2027'!$E$27</f>
        <v>Administración</v>
      </c>
      <c r="B78" s="124" t="str">
        <f>'PPTO 2027'!$C$27</f>
        <v>Gastos de administración</v>
      </c>
      <c r="C78" s="124" t="str">
        <f>'PPTO 2027'!$B$27</f>
        <v>Nómina administrativa</v>
      </c>
      <c r="D78" s="124" t="str">
        <f>'PPTO 2027'!$D$27</f>
        <v>Gasto</v>
      </c>
      <c r="E78" s="124" t="str">
        <f>'PPTO 2027'!$F$27</f>
        <v>Nómina</v>
      </c>
      <c r="F78" s="124" t="str">
        <f>CHOOSE(5,"Ene","Feb","Mar","Abr","May","Jun","Jul","Ago","Sep","Oct","Nov","Dic")</f>
        <v>May</v>
      </c>
      <c r="G78" s="124">
        <v>5</v>
      </c>
      <c r="H78" s="124">
        <f>'PPTO 2027'!$M$27</f>
        <v>50000000</v>
      </c>
      <c r="I78" s="124">
        <f>'PPTO 2027'!$Z$27</f>
        <v>53500000</v>
      </c>
      <c r="J78" s="124">
        <f t="shared" si="3"/>
        <v>3500000</v>
      </c>
      <c r="K78" s="124">
        <f t="shared" si="4"/>
        <v>3500000</v>
      </c>
      <c r="L78" s="124">
        <f t="shared" si="5"/>
        <v>7.0000000000000007E-2</v>
      </c>
      <c r="M78" s="124">
        <f>IFERROR(INDEX(tReal27[[Ene]:[Dic]],MATCH(C78,tReal27[Cuenta],0),5),0)</f>
        <v>54341000</v>
      </c>
    </row>
    <row r="79" spans="1:13" x14ac:dyDescent="0.4">
      <c r="A79" s="124" t="str">
        <f>'PPTO 2027'!$E$27</f>
        <v>Administración</v>
      </c>
      <c r="B79" s="124" t="str">
        <f>'PPTO 2027'!$C$27</f>
        <v>Gastos de administración</v>
      </c>
      <c r="C79" s="124" t="str">
        <f>'PPTO 2027'!$B$27</f>
        <v>Nómina administrativa</v>
      </c>
      <c r="D79" s="124" t="str">
        <f>'PPTO 2027'!$D$27</f>
        <v>Gasto</v>
      </c>
      <c r="E79" s="124" t="str">
        <f>'PPTO 2027'!$F$27</f>
        <v>Nómina</v>
      </c>
      <c r="F79" s="124" t="str">
        <f>CHOOSE(6,"Ene","Feb","Mar","Abr","May","Jun","Jul","Ago","Sep","Oct","Nov","Dic")</f>
        <v>Jun</v>
      </c>
      <c r="G79" s="124">
        <v>6</v>
      </c>
      <c r="H79" s="124">
        <f>'PPTO 2027'!$N$27</f>
        <v>50000000</v>
      </c>
      <c r="I79" s="124">
        <f>'PPTO 2027'!$AA$27</f>
        <v>53500000</v>
      </c>
      <c r="J79" s="124">
        <f t="shared" si="3"/>
        <v>3500000</v>
      </c>
      <c r="K79" s="124">
        <f t="shared" si="4"/>
        <v>3500000</v>
      </c>
      <c r="L79" s="124">
        <f t="shared" si="5"/>
        <v>7.0000000000000007E-2</v>
      </c>
      <c r="M79" s="124">
        <f>IFERROR(INDEX(tReal27[[Ene]:[Dic]],MATCH(C79,tReal27[Cuenta],0),6),0)</f>
        <v>51809000</v>
      </c>
    </row>
    <row r="80" spans="1:13" x14ac:dyDescent="0.4">
      <c r="A80" s="124" t="str">
        <f>'PPTO 2027'!$E$27</f>
        <v>Administración</v>
      </c>
      <c r="B80" s="124" t="str">
        <f>'PPTO 2027'!$C$27</f>
        <v>Gastos de administración</v>
      </c>
      <c r="C80" s="124" t="str">
        <f>'PPTO 2027'!$B$27</f>
        <v>Nómina administrativa</v>
      </c>
      <c r="D80" s="124" t="str">
        <f>'PPTO 2027'!$D$27</f>
        <v>Gasto</v>
      </c>
      <c r="E80" s="124" t="str">
        <f>'PPTO 2027'!$F$27</f>
        <v>Nómina</v>
      </c>
      <c r="F80" s="124" t="str">
        <f>CHOOSE(7,"Ene","Feb","Mar","Abr","May","Jun","Jul","Ago","Sep","Oct","Nov","Dic")</f>
        <v>Jul</v>
      </c>
      <c r="G80" s="124">
        <v>7</v>
      </c>
      <c r="H80" s="124">
        <f>'PPTO 2027'!$O$27</f>
        <v>50000000</v>
      </c>
      <c r="I80" s="124">
        <f>'PPTO 2027'!$AB$27</f>
        <v>53500000</v>
      </c>
      <c r="J80" s="124">
        <f t="shared" si="3"/>
        <v>3500000</v>
      </c>
      <c r="K80" s="124">
        <f t="shared" si="4"/>
        <v>3500000</v>
      </c>
      <c r="L80" s="124">
        <f t="shared" si="5"/>
        <v>7.0000000000000007E-2</v>
      </c>
      <c r="M80" s="124">
        <f>IFERROR(INDEX(tReal27[[Ene]:[Dic]],MATCH(C80,tReal27[Cuenta],0),7),0)</f>
        <v>53941000</v>
      </c>
    </row>
    <row r="81" spans="1:13" x14ac:dyDescent="0.4">
      <c r="A81" s="124" t="str">
        <f>'PPTO 2027'!$E$27</f>
        <v>Administración</v>
      </c>
      <c r="B81" s="124" t="str">
        <f>'PPTO 2027'!$C$27</f>
        <v>Gastos de administración</v>
      </c>
      <c r="C81" s="124" t="str">
        <f>'PPTO 2027'!$B$27</f>
        <v>Nómina administrativa</v>
      </c>
      <c r="D81" s="124" t="str">
        <f>'PPTO 2027'!$D$27</f>
        <v>Gasto</v>
      </c>
      <c r="E81" s="124" t="str">
        <f>'PPTO 2027'!$F$27</f>
        <v>Nómina</v>
      </c>
      <c r="F81" s="124" t="str">
        <f>CHOOSE(8,"Ene","Feb","Mar","Abr","May","Jun","Jul","Ago","Sep","Oct","Nov","Dic")</f>
        <v>Ago</v>
      </c>
      <c r="G81" s="124">
        <v>8</v>
      </c>
      <c r="H81" s="124">
        <f>'PPTO 2027'!$P$27</f>
        <v>50000000</v>
      </c>
      <c r="I81" s="124">
        <f>'PPTO 2027'!$AC$27</f>
        <v>53500000</v>
      </c>
      <c r="J81" s="124">
        <f t="shared" si="3"/>
        <v>3500000</v>
      </c>
      <c r="K81" s="124">
        <f t="shared" si="4"/>
        <v>3500000</v>
      </c>
      <c r="L81" s="124">
        <f t="shared" si="5"/>
        <v>7.0000000000000007E-2</v>
      </c>
      <c r="M81" s="124">
        <f>IFERROR(INDEX(tReal27[[Ene]:[Dic]],MATCH(C81,tReal27[Cuenta],0),8),0)</f>
        <v>54309000</v>
      </c>
    </row>
    <row r="82" spans="1:13" x14ac:dyDescent="0.4">
      <c r="A82" s="124" t="str">
        <f>'PPTO 2027'!$E$27</f>
        <v>Administración</v>
      </c>
      <c r="B82" s="124" t="str">
        <f>'PPTO 2027'!$C$27</f>
        <v>Gastos de administración</v>
      </c>
      <c r="C82" s="124" t="str">
        <f>'PPTO 2027'!$B$27</f>
        <v>Nómina administrativa</v>
      </c>
      <c r="D82" s="124" t="str">
        <f>'PPTO 2027'!$D$27</f>
        <v>Gasto</v>
      </c>
      <c r="E82" s="124" t="str">
        <f>'PPTO 2027'!$F$27</f>
        <v>Nómina</v>
      </c>
      <c r="F82" s="124" t="str">
        <f>CHOOSE(9,"Ene","Feb","Mar","Abr","May","Jun","Jul","Ago","Sep","Oct","Nov","Dic")</f>
        <v>Sep</v>
      </c>
      <c r="G82" s="124">
        <v>9</v>
      </c>
      <c r="H82" s="124">
        <f>'PPTO 2027'!$Q$27</f>
        <v>50000000</v>
      </c>
      <c r="I82" s="124">
        <f>'PPTO 2027'!$AD$27</f>
        <v>53500000</v>
      </c>
      <c r="J82" s="124">
        <f t="shared" si="3"/>
        <v>3500000</v>
      </c>
      <c r="K82" s="124">
        <f t="shared" si="4"/>
        <v>3500000</v>
      </c>
      <c r="L82" s="124">
        <f t="shared" si="5"/>
        <v>7.0000000000000007E-2</v>
      </c>
      <c r="M82" s="124">
        <f>IFERROR(INDEX(tReal27[[Ene]:[Dic]],MATCH(C82,tReal27[Cuenta],0),9),0)</f>
        <v>53288000</v>
      </c>
    </row>
    <row r="83" spans="1:13" x14ac:dyDescent="0.4">
      <c r="A83" s="124" t="str">
        <f>'PPTO 2027'!$E$27</f>
        <v>Administración</v>
      </c>
      <c r="B83" s="124" t="str">
        <f>'PPTO 2027'!$C$27</f>
        <v>Gastos de administración</v>
      </c>
      <c r="C83" s="124" t="str">
        <f>'PPTO 2027'!$B$27</f>
        <v>Nómina administrativa</v>
      </c>
      <c r="D83" s="124" t="str">
        <f>'PPTO 2027'!$D$27</f>
        <v>Gasto</v>
      </c>
      <c r="E83" s="124" t="str">
        <f>'PPTO 2027'!$F$27</f>
        <v>Nómina</v>
      </c>
      <c r="F83" s="124" t="str">
        <f>CHOOSE(10,"Ene","Feb","Mar","Abr","May","Jun","Jul","Ago","Sep","Oct","Nov","Dic")</f>
        <v>Oct</v>
      </c>
      <c r="G83" s="124">
        <v>10</v>
      </c>
      <c r="H83" s="124">
        <f>'PPTO 2027'!$R$27</f>
        <v>50000000</v>
      </c>
      <c r="I83" s="124">
        <f>'PPTO 2027'!$AE$27</f>
        <v>53500000</v>
      </c>
      <c r="J83" s="124">
        <f t="shared" si="3"/>
        <v>3500000</v>
      </c>
      <c r="K83" s="124">
        <f t="shared" si="4"/>
        <v>3500000</v>
      </c>
      <c r="L83" s="124">
        <f t="shared" si="5"/>
        <v>7.0000000000000007E-2</v>
      </c>
      <c r="M83" s="124">
        <f>IFERROR(INDEX(tReal27[[Ene]:[Dic]],MATCH(C83,tReal27[Cuenta],0),10),0)</f>
        <v>53215000</v>
      </c>
    </row>
    <row r="84" spans="1:13" x14ac:dyDescent="0.4">
      <c r="A84" s="124" t="str">
        <f>'PPTO 2027'!$E$27</f>
        <v>Administración</v>
      </c>
      <c r="B84" s="124" t="str">
        <f>'PPTO 2027'!$C$27</f>
        <v>Gastos de administración</v>
      </c>
      <c r="C84" s="124" t="str">
        <f>'PPTO 2027'!$B$27</f>
        <v>Nómina administrativa</v>
      </c>
      <c r="D84" s="124" t="str">
        <f>'PPTO 2027'!$D$27</f>
        <v>Gasto</v>
      </c>
      <c r="E84" s="124" t="str">
        <f>'PPTO 2027'!$F$27</f>
        <v>Nómina</v>
      </c>
      <c r="F84" s="124" t="str">
        <f>CHOOSE(11,"Ene","Feb","Mar","Abr","May","Jun","Jul","Ago","Sep","Oct","Nov","Dic")</f>
        <v>Nov</v>
      </c>
      <c r="G84" s="124">
        <v>11</v>
      </c>
      <c r="H84" s="124">
        <f>'PPTO 2027'!$S$27</f>
        <v>50000000</v>
      </c>
      <c r="I84" s="124">
        <f>'PPTO 2027'!$AF$27</f>
        <v>53500000</v>
      </c>
      <c r="J84" s="124">
        <f t="shared" si="3"/>
        <v>3500000</v>
      </c>
      <c r="K84" s="124">
        <f t="shared" si="4"/>
        <v>3500000</v>
      </c>
      <c r="L84" s="124">
        <f t="shared" si="5"/>
        <v>7.0000000000000007E-2</v>
      </c>
      <c r="M84" s="124">
        <f>IFERROR(INDEX(tReal27[[Ene]:[Dic]],MATCH(C84,tReal27[Cuenta],0),11),0)</f>
        <v>53230000</v>
      </c>
    </row>
    <row r="85" spans="1:13" x14ac:dyDescent="0.4">
      <c r="A85" s="124" t="str">
        <f>'PPTO 2027'!$E$27</f>
        <v>Administración</v>
      </c>
      <c r="B85" s="124" t="str">
        <f>'PPTO 2027'!$C$27</f>
        <v>Gastos de administración</v>
      </c>
      <c r="C85" s="124" t="str">
        <f>'PPTO 2027'!$B$27</f>
        <v>Nómina administrativa</v>
      </c>
      <c r="D85" s="124" t="str">
        <f>'PPTO 2027'!$D$27</f>
        <v>Gasto</v>
      </c>
      <c r="E85" s="124" t="str">
        <f>'PPTO 2027'!$F$27</f>
        <v>Nómina</v>
      </c>
      <c r="F85" s="124" t="str">
        <f>CHOOSE(12,"Ene","Feb","Mar","Abr","May","Jun","Jul","Ago","Sep","Oct","Nov","Dic")</f>
        <v>Dic</v>
      </c>
      <c r="G85" s="124">
        <v>12</v>
      </c>
      <c r="H85" s="124">
        <f>'PPTO 2027'!$T$27</f>
        <v>50000000</v>
      </c>
      <c r="I85" s="124">
        <f>'PPTO 2027'!$AG$27</f>
        <v>53500000</v>
      </c>
      <c r="J85" s="124">
        <f t="shared" si="3"/>
        <v>3500000</v>
      </c>
      <c r="K85" s="124">
        <f t="shared" si="4"/>
        <v>3500000</v>
      </c>
      <c r="L85" s="124">
        <f t="shared" si="5"/>
        <v>7.0000000000000007E-2</v>
      </c>
      <c r="M85" s="124">
        <f>IFERROR(INDEX(tReal27[[Ene]:[Dic]],MATCH(C85,tReal27[Cuenta],0),12),0)</f>
        <v>52501000</v>
      </c>
    </row>
    <row r="86" spans="1:13" x14ac:dyDescent="0.4">
      <c r="A86" s="124" t="str">
        <f>'PPTO 2027'!$E$28</f>
        <v>Administración</v>
      </c>
      <c r="B86" s="124" t="str">
        <f>'PPTO 2027'!$C$28</f>
        <v>Gastos de administración</v>
      </c>
      <c r="C86" s="124" t="str">
        <f>'PPTO 2027'!$B$28</f>
        <v>Arrendamiento de oficinas</v>
      </c>
      <c r="D86" s="124" t="str">
        <f>'PPTO 2027'!$D$28</f>
        <v>Gasto</v>
      </c>
      <c r="E86" s="124" t="str">
        <f>'PPTO 2027'!$F$28</f>
        <v>IPC</v>
      </c>
      <c r="F86" s="124" t="str">
        <f>CHOOSE(1,"Ene","Feb","Mar","Abr","May","Jun","Jul","Ago","Sep","Oct","Nov","Dic")</f>
        <v>Ene</v>
      </c>
      <c r="G86" s="124">
        <v>1</v>
      </c>
      <c r="H86" s="124">
        <f>'PPTO 2027'!$I$28</f>
        <v>15000000</v>
      </c>
      <c r="I86" s="124">
        <f>'PPTO 2027'!$V$28</f>
        <v>15600000</v>
      </c>
      <c r="J86" s="124">
        <f t="shared" si="3"/>
        <v>600000</v>
      </c>
      <c r="K86" s="124">
        <f t="shared" si="4"/>
        <v>600000</v>
      </c>
      <c r="L86" s="124">
        <f t="shared" si="5"/>
        <v>0.04</v>
      </c>
      <c r="M86" s="124">
        <f>IFERROR(INDEX(tReal27[[Ene]:[Dic]],MATCH(C86,tReal27[Cuenta],0),1),0)</f>
        <v>15520000</v>
      </c>
    </row>
    <row r="87" spans="1:13" x14ac:dyDescent="0.4">
      <c r="A87" s="124" t="str">
        <f>'PPTO 2027'!$E$28</f>
        <v>Administración</v>
      </c>
      <c r="B87" s="124" t="str">
        <f>'PPTO 2027'!$C$28</f>
        <v>Gastos de administración</v>
      </c>
      <c r="C87" s="124" t="str">
        <f>'PPTO 2027'!$B$28</f>
        <v>Arrendamiento de oficinas</v>
      </c>
      <c r="D87" s="124" t="str">
        <f>'PPTO 2027'!$D$28</f>
        <v>Gasto</v>
      </c>
      <c r="E87" s="124" t="str">
        <f>'PPTO 2027'!$F$28</f>
        <v>IPC</v>
      </c>
      <c r="F87" s="124" t="str">
        <f>CHOOSE(2,"Ene","Feb","Mar","Abr","May","Jun","Jul","Ago","Sep","Oct","Nov","Dic")</f>
        <v>Feb</v>
      </c>
      <c r="G87" s="124">
        <v>2</v>
      </c>
      <c r="H87" s="124">
        <f>'PPTO 2027'!$J$28</f>
        <v>15000000</v>
      </c>
      <c r="I87" s="124">
        <f>'PPTO 2027'!$W$28</f>
        <v>15600000</v>
      </c>
      <c r="J87" s="124">
        <f t="shared" si="3"/>
        <v>600000</v>
      </c>
      <c r="K87" s="124">
        <f t="shared" si="4"/>
        <v>600000</v>
      </c>
      <c r="L87" s="124">
        <f t="shared" si="5"/>
        <v>0.04</v>
      </c>
      <c r="M87" s="124">
        <f>IFERROR(INDEX(tReal27[[Ene]:[Dic]],MATCH(C87,tReal27[Cuenta],0),2),0)</f>
        <v>15871000</v>
      </c>
    </row>
    <row r="88" spans="1:13" x14ac:dyDescent="0.4">
      <c r="A88" s="124" t="str">
        <f>'PPTO 2027'!$E$28</f>
        <v>Administración</v>
      </c>
      <c r="B88" s="124" t="str">
        <f>'PPTO 2027'!$C$28</f>
        <v>Gastos de administración</v>
      </c>
      <c r="C88" s="124" t="str">
        <f>'PPTO 2027'!$B$28</f>
        <v>Arrendamiento de oficinas</v>
      </c>
      <c r="D88" s="124" t="str">
        <f>'PPTO 2027'!$D$28</f>
        <v>Gasto</v>
      </c>
      <c r="E88" s="124" t="str">
        <f>'PPTO 2027'!$F$28</f>
        <v>IPC</v>
      </c>
      <c r="F88" s="124" t="str">
        <f>CHOOSE(3,"Ene","Feb","Mar","Abr","May","Jun","Jul","Ago","Sep","Oct","Nov","Dic")</f>
        <v>Mar</v>
      </c>
      <c r="G88" s="124">
        <v>3</v>
      </c>
      <c r="H88" s="124">
        <f>'PPTO 2027'!$K$28</f>
        <v>15000000</v>
      </c>
      <c r="I88" s="124">
        <f>'PPTO 2027'!$X$28</f>
        <v>15600000</v>
      </c>
      <c r="J88" s="124">
        <f t="shared" si="3"/>
        <v>600000</v>
      </c>
      <c r="K88" s="124">
        <f t="shared" si="4"/>
        <v>600000</v>
      </c>
      <c r="L88" s="124">
        <f t="shared" si="5"/>
        <v>0.04</v>
      </c>
      <c r="M88" s="124">
        <f>IFERROR(INDEX(tReal27[[Ene]:[Dic]],MATCH(C88,tReal27[Cuenta],0),3),0)</f>
        <v>16161000</v>
      </c>
    </row>
    <row r="89" spans="1:13" x14ac:dyDescent="0.4">
      <c r="A89" s="124" t="str">
        <f>'PPTO 2027'!$E$28</f>
        <v>Administración</v>
      </c>
      <c r="B89" s="124" t="str">
        <f>'PPTO 2027'!$C$28</f>
        <v>Gastos de administración</v>
      </c>
      <c r="C89" s="124" t="str">
        <f>'PPTO 2027'!$B$28</f>
        <v>Arrendamiento de oficinas</v>
      </c>
      <c r="D89" s="124" t="str">
        <f>'PPTO 2027'!$D$28</f>
        <v>Gasto</v>
      </c>
      <c r="E89" s="124" t="str">
        <f>'PPTO 2027'!$F$28</f>
        <v>IPC</v>
      </c>
      <c r="F89" s="124" t="str">
        <f>CHOOSE(4,"Ene","Feb","Mar","Abr","May","Jun","Jul","Ago","Sep","Oct","Nov","Dic")</f>
        <v>Abr</v>
      </c>
      <c r="G89" s="124">
        <v>4</v>
      </c>
      <c r="H89" s="124">
        <f>'PPTO 2027'!$L$28</f>
        <v>15000000</v>
      </c>
      <c r="I89" s="124">
        <f>'PPTO 2027'!$Y$28</f>
        <v>15600000</v>
      </c>
      <c r="J89" s="124">
        <f t="shared" si="3"/>
        <v>600000</v>
      </c>
      <c r="K89" s="124">
        <f t="shared" si="4"/>
        <v>600000</v>
      </c>
      <c r="L89" s="124">
        <f t="shared" si="5"/>
        <v>0.04</v>
      </c>
      <c r="M89" s="124">
        <f>IFERROR(INDEX(tReal27[[Ene]:[Dic]],MATCH(C89,tReal27[Cuenta],0),4),0)</f>
        <v>15854000</v>
      </c>
    </row>
    <row r="90" spans="1:13" x14ac:dyDescent="0.4">
      <c r="A90" s="124" t="str">
        <f>'PPTO 2027'!$E$28</f>
        <v>Administración</v>
      </c>
      <c r="B90" s="124" t="str">
        <f>'PPTO 2027'!$C$28</f>
        <v>Gastos de administración</v>
      </c>
      <c r="C90" s="124" t="str">
        <f>'PPTO 2027'!$B$28</f>
        <v>Arrendamiento de oficinas</v>
      </c>
      <c r="D90" s="124" t="str">
        <f>'PPTO 2027'!$D$28</f>
        <v>Gasto</v>
      </c>
      <c r="E90" s="124" t="str">
        <f>'PPTO 2027'!$F$28</f>
        <v>IPC</v>
      </c>
      <c r="F90" s="124" t="str">
        <f>CHOOSE(5,"Ene","Feb","Mar","Abr","May","Jun","Jul","Ago","Sep","Oct","Nov","Dic")</f>
        <v>May</v>
      </c>
      <c r="G90" s="124">
        <v>5</v>
      </c>
      <c r="H90" s="124">
        <f>'PPTO 2027'!$M$28</f>
        <v>15000000</v>
      </c>
      <c r="I90" s="124">
        <f>'PPTO 2027'!$Z$28</f>
        <v>15600000</v>
      </c>
      <c r="J90" s="124">
        <f t="shared" si="3"/>
        <v>600000</v>
      </c>
      <c r="K90" s="124">
        <f t="shared" si="4"/>
        <v>600000</v>
      </c>
      <c r="L90" s="124">
        <f t="shared" si="5"/>
        <v>0.04</v>
      </c>
      <c r="M90" s="124">
        <f>IFERROR(INDEX(tReal27[[Ene]:[Dic]],MATCH(C90,tReal27[Cuenta],0),5),0)</f>
        <v>15363000</v>
      </c>
    </row>
    <row r="91" spans="1:13" x14ac:dyDescent="0.4">
      <c r="A91" s="124" t="str">
        <f>'PPTO 2027'!$E$28</f>
        <v>Administración</v>
      </c>
      <c r="B91" s="124" t="str">
        <f>'PPTO 2027'!$C$28</f>
        <v>Gastos de administración</v>
      </c>
      <c r="C91" s="124" t="str">
        <f>'PPTO 2027'!$B$28</f>
        <v>Arrendamiento de oficinas</v>
      </c>
      <c r="D91" s="124" t="str">
        <f>'PPTO 2027'!$D$28</f>
        <v>Gasto</v>
      </c>
      <c r="E91" s="124" t="str">
        <f>'PPTO 2027'!$F$28</f>
        <v>IPC</v>
      </c>
      <c r="F91" s="124" t="str">
        <f>CHOOSE(6,"Ene","Feb","Mar","Abr","May","Jun","Jul","Ago","Sep","Oct","Nov","Dic")</f>
        <v>Jun</v>
      </c>
      <c r="G91" s="124">
        <v>6</v>
      </c>
      <c r="H91" s="124">
        <f>'PPTO 2027'!$N$28</f>
        <v>15000000</v>
      </c>
      <c r="I91" s="124">
        <f>'PPTO 2027'!$AA$28</f>
        <v>15600000</v>
      </c>
      <c r="J91" s="124">
        <f t="shared" si="3"/>
        <v>600000</v>
      </c>
      <c r="K91" s="124">
        <f t="shared" si="4"/>
        <v>600000</v>
      </c>
      <c r="L91" s="124">
        <f t="shared" si="5"/>
        <v>0.04</v>
      </c>
      <c r="M91" s="124">
        <f>IFERROR(INDEX(tReal27[[Ene]:[Dic]],MATCH(C91,tReal27[Cuenta],0),6),0)</f>
        <v>15493000</v>
      </c>
    </row>
    <row r="92" spans="1:13" x14ac:dyDescent="0.4">
      <c r="A92" s="124" t="str">
        <f>'PPTO 2027'!$E$28</f>
        <v>Administración</v>
      </c>
      <c r="B92" s="124" t="str">
        <f>'PPTO 2027'!$C$28</f>
        <v>Gastos de administración</v>
      </c>
      <c r="C92" s="124" t="str">
        <f>'PPTO 2027'!$B$28</f>
        <v>Arrendamiento de oficinas</v>
      </c>
      <c r="D92" s="124" t="str">
        <f>'PPTO 2027'!$D$28</f>
        <v>Gasto</v>
      </c>
      <c r="E92" s="124" t="str">
        <f>'PPTO 2027'!$F$28</f>
        <v>IPC</v>
      </c>
      <c r="F92" s="124" t="str">
        <f>CHOOSE(7,"Ene","Feb","Mar","Abr","May","Jun","Jul","Ago","Sep","Oct","Nov","Dic")</f>
        <v>Jul</v>
      </c>
      <c r="G92" s="124">
        <v>7</v>
      </c>
      <c r="H92" s="124">
        <f>'PPTO 2027'!$O$28</f>
        <v>15000000</v>
      </c>
      <c r="I92" s="124">
        <f>'PPTO 2027'!$AB$28</f>
        <v>15600000</v>
      </c>
      <c r="J92" s="124">
        <f t="shared" si="3"/>
        <v>600000</v>
      </c>
      <c r="K92" s="124">
        <f t="shared" si="4"/>
        <v>600000</v>
      </c>
      <c r="L92" s="124">
        <f t="shared" si="5"/>
        <v>0.04</v>
      </c>
      <c r="M92" s="124">
        <f>IFERROR(INDEX(tReal27[[Ene]:[Dic]],MATCH(C92,tReal27[Cuenta],0),7),0)</f>
        <v>15741000</v>
      </c>
    </row>
    <row r="93" spans="1:13" x14ac:dyDescent="0.4">
      <c r="A93" s="124" t="str">
        <f>'PPTO 2027'!$E$28</f>
        <v>Administración</v>
      </c>
      <c r="B93" s="124" t="str">
        <f>'PPTO 2027'!$C$28</f>
        <v>Gastos de administración</v>
      </c>
      <c r="C93" s="124" t="str">
        <f>'PPTO 2027'!$B$28</f>
        <v>Arrendamiento de oficinas</v>
      </c>
      <c r="D93" s="124" t="str">
        <f>'PPTO 2027'!$D$28</f>
        <v>Gasto</v>
      </c>
      <c r="E93" s="124" t="str">
        <f>'PPTO 2027'!$F$28</f>
        <v>IPC</v>
      </c>
      <c r="F93" s="124" t="str">
        <f>CHOOSE(8,"Ene","Feb","Mar","Abr","May","Jun","Jul","Ago","Sep","Oct","Nov","Dic")</f>
        <v>Ago</v>
      </c>
      <c r="G93" s="124">
        <v>8</v>
      </c>
      <c r="H93" s="124">
        <f>'PPTO 2027'!$P$28</f>
        <v>15000000</v>
      </c>
      <c r="I93" s="124">
        <f>'PPTO 2027'!$AC$28</f>
        <v>15600000</v>
      </c>
      <c r="J93" s="124">
        <f t="shared" si="3"/>
        <v>600000</v>
      </c>
      <c r="K93" s="124">
        <f t="shared" si="4"/>
        <v>600000</v>
      </c>
      <c r="L93" s="124">
        <f t="shared" si="5"/>
        <v>0.04</v>
      </c>
      <c r="M93" s="124">
        <f>IFERROR(INDEX(tReal27[[Ene]:[Dic]],MATCH(C93,tReal27[Cuenta],0),8),0)</f>
        <v>15615000</v>
      </c>
    </row>
    <row r="94" spans="1:13" x14ac:dyDescent="0.4">
      <c r="A94" s="124" t="str">
        <f>'PPTO 2027'!$E$28</f>
        <v>Administración</v>
      </c>
      <c r="B94" s="124" t="str">
        <f>'PPTO 2027'!$C$28</f>
        <v>Gastos de administración</v>
      </c>
      <c r="C94" s="124" t="str">
        <f>'PPTO 2027'!$B$28</f>
        <v>Arrendamiento de oficinas</v>
      </c>
      <c r="D94" s="124" t="str">
        <f>'PPTO 2027'!$D$28</f>
        <v>Gasto</v>
      </c>
      <c r="E94" s="124" t="str">
        <f>'PPTO 2027'!$F$28</f>
        <v>IPC</v>
      </c>
      <c r="F94" s="124" t="str">
        <f>CHOOSE(9,"Ene","Feb","Mar","Abr","May","Jun","Jul","Ago","Sep","Oct","Nov","Dic")</f>
        <v>Sep</v>
      </c>
      <c r="G94" s="124">
        <v>9</v>
      </c>
      <c r="H94" s="124">
        <f>'PPTO 2027'!$Q$28</f>
        <v>15000000</v>
      </c>
      <c r="I94" s="124">
        <f>'PPTO 2027'!$AD$28</f>
        <v>15600000</v>
      </c>
      <c r="J94" s="124">
        <f t="shared" si="3"/>
        <v>600000</v>
      </c>
      <c r="K94" s="124">
        <f t="shared" si="4"/>
        <v>600000</v>
      </c>
      <c r="L94" s="124">
        <f t="shared" si="5"/>
        <v>0.04</v>
      </c>
      <c r="M94" s="124">
        <f>IFERROR(INDEX(tReal27[[Ene]:[Dic]],MATCH(C94,tReal27[Cuenta],0),9),0)</f>
        <v>15559000</v>
      </c>
    </row>
    <row r="95" spans="1:13" x14ac:dyDescent="0.4">
      <c r="A95" s="124" t="str">
        <f>'PPTO 2027'!$E$28</f>
        <v>Administración</v>
      </c>
      <c r="B95" s="124" t="str">
        <f>'PPTO 2027'!$C$28</f>
        <v>Gastos de administración</v>
      </c>
      <c r="C95" s="124" t="str">
        <f>'PPTO 2027'!$B$28</f>
        <v>Arrendamiento de oficinas</v>
      </c>
      <c r="D95" s="124" t="str">
        <f>'PPTO 2027'!$D$28</f>
        <v>Gasto</v>
      </c>
      <c r="E95" s="124" t="str">
        <f>'PPTO 2027'!$F$28</f>
        <v>IPC</v>
      </c>
      <c r="F95" s="124" t="str">
        <f>CHOOSE(10,"Ene","Feb","Mar","Abr","May","Jun","Jul","Ago","Sep","Oct","Nov","Dic")</f>
        <v>Oct</v>
      </c>
      <c r="G95" s="124">
        <v>10</v>
      </c>
      <c r="H95" s="124">
        <f>'PPTO 2027'!$R$28</f>
        <v>15000000</v>
      </c>
      <c r="I95" s="124">
        <f>'PPTO 2027'!$AE$28</f>
        <v>15600000</v>
      </c>
      <c r="J95" s="124">
        <f t="shared" si="3"/>
        <v>600000</v>
      </c>
      <c r="K95" s="124">
        <f t="shared" si="4"/>
        <v>600000</v>
      </c>
      <c r="L95" s="124">
        <f t="shared" si="5"/>
        <v>0.04</v>
      </c>
      <c r="M95" s="124">
        <f>IFERROR(INDEX(tReal27[[Ene]:[Dic]],MATCH(C95,tReal27[Cuenta],0),10),0)</f>
        <v>15300000</v>
      </c>
    </row>
    <row r="96" spans="1:13" x14ac:dyDescent="0.4">
      <c r="A96" s="124" t="str">
        <f>'PPTO 2027'!$E$28</f>
        <v>Administración</v>
      </c>
      <c r="B96" s="124" t="str">
        <f>'PPTO 2027'!$C$28</f>
        <v>Gastos de administración</v>
      </c>
      <c r="C96" s="124" t="str">
        <f>'PPTO 2027'!$B$28</f>
        <v>Arrendamiento de oficinas</v>
      </c>
      <c r="D96" s="124" t="str">
        <f>'PPTO 2027'!$D$28</f>
        <v>Gasto</v>
      </c>
      <c r="E96" s="124" t="str">
        <f>'PPTO 2027'!$F$28</f>
        <v>IPC</v>
      </c>
      <c r="F96" s="124" t="str">
        <f>CHOOSE(11,"Ene","Feb","Mar","Abr","May","Jun","Jul","Ago","Sep","Oct","Nov","Dic")</f>
        <v>Nov</v>
      </c>
      <c r="G96" s="124">
        <v>11</v>
      </c>
      <c r="H96" s="124">
        <f>'PPTO 2027'!$S$28</f>
        <v>15000000</v>
      </c>
      <c r="I96" s="124">
        <f>'PPTO 2027'!$AF$28</f>
        <v>15600000</v>
      </c>
      <c r="J96" s="124">
        <f t="shared" si="3"/>
        <v>600000</v>
      </c>
      <c r="K96" s="124">
        <f t="shared" si="4"/>
        <v>600000</v>
      </c>
      <c r="L96" s="124">
        <f t="shared" si="5"/>
        <v>0.04</v>
      </c>
      <c r="M96" s="124">
        <f>IFERROR(INDEX(tReal27[[Ene]:[Dic]],MATCH(C96,tReal27[Cuenta],0),11),0)</f>
        <v>15119000</v>
      </c>
    </row>
    <row r="97" spans="1:13" x14ac:dyDescent="0.4">
      <c r="A97" s="124" t="str">
        <f>'PPTO 2027'!$E$28</f>
        <v>Administración</v>
      </c>
      <c r="B97" s="124" t="str">
        <f>'PPTO 2027'!$C$28</f>
        <v>Gastos de administración</v>
      </c>
      <c r="C97" s="124" t="str">
        <f>'PPTO 2027'!$B$28</f>
        <v>Arrendamiento de oficinas</v>
      </c>
      <c r="D97" s="124" t="str">
        <f>'PPTO 2027'!$D$28</f>
        <v>Gasto</v>
      </c>
      <c r="E97" s="124" t="str">
        <f>'PPTO 2027'!$F$28</f>
        <v>IPC</v>
      </c>
      <c r="F97" s="124" t="str">
        <f>CHOOSE(12,"Ene","Feb","Mar","Abr","May","Jun","Jul","Ago","Sep","Oct","Nov","Dic")</f>
        <v>Dic</v>
      </c>
      <c r="G97" s="124">
        <v>12</v>
      </c>
      <c r="H97" s="124">
        <f>'PPTO 2027'!$T$28</f>
        <v>15000000</v>
      </c>
      <c r="I97" s="124">
        <f>'PPTO 2027'!$AG$28</f>
        <v>15600000</v>
      </c>
      <c r="J97" s="124">
        <f t="shared" si="3"/>
        <v>600000</v>
      </c>
      <c r="K97" s="124">
        <f t="shared" si="4"/>
        <v>600000</v>
      </c>
      <c r="L97" s="124">
        <f t="shared" si="5"/>
        <v>0.04</v>
      </c>
      <c r="M97" s="124">
        <f>IFERROR(INDEX(tReal27[[Ene]:[Dic]],MATCH(C97,tReal27[Cuenta],0),12),0)</f>
        <v>15765000</v>
      </c>
    </row>
    <row r="98" spans="1:13" x14ac:dyDescent="0.4">
      <c r="A98" s="124" t="str">
        <f>'PPTO 2027'!$E$29</f>
        <v>Administración</v>
      </c>
      <c r="B98" s="124" t="str">
        <f>'PPTO 2027'!$C$29</f>
        <v>Gastos de administración</v>
      </c>
      <c r="C98" s="124" t="str">
        <f>'PPTO 2027'!$B$29</f>
        <v>Servicios públicos</v>
      </c>
      <c r="D98" s="124" t="str">
        <f>'PPTO 2027'!$D$29</f>
        <v>Gasto</v>
      </c>
      <c r="E98" s="124" t="str">
        <f>'PPTO 2027'!$F$29</f>
        <v>IPC</v>
      </c>
      <c r="F98" s="124" t="str">
        <f>CHOOSE(1,"Ene","Feb","Mar","Abr","May","Jun","Jul","Ago","Sep","Oct","Nov","Dic")</f>
        <v>Ene</v>
      </c>
      <c r="G98" s="124">
        <v>1</v>
      </c>
      <c r="H98" s="124">
        <f>'PPTO 2027'!$I$29</f>
        <v>7000000</v>
      </c>
      <c r="I98" s="124">
        <f>'PPTO 2027'!$V$29</f>
        <v>7280000</v>
      </c>
      <c r="J98" s="124">
        <f t="shared" si="3"/>
        <v>280000</v>
      </c>
      <c r="K98" s="124">
        <f t="shared" si="4"/>
        <v>280000</v>
      </c>
      <c r="L98" s="124">
        <f t="shared" si="5"/>
        <v>0.04</v>
      </c>
      <c r="M98" s="124">
        <f>IFERROR(INDEX(tReal27[[Ene]:[Dic]],MATCH(C98,tReal27[Cuenta],0),1),0)</f>
        <v>7348000</v>
      </c>
    </row>
    <row r="99" spans="1:13" x14ac:dyDescent="0.4">
      <c r="A99" s="124" t="str">
        <f>'PPTO 2027'!$E$29</f>
        <v>Administración</v>
      </c>
      <c r="B99" s="124" t="str">
        <f>'PPTO 2027'!$C$29</f>
        <v>Gastos de administración</v>
      </c>
      <c r="C99" s="124" t="str">
        <f>'PPTO 2027'!$B$29</f>
        <v>Servicios públicos</v>
      </c>
      <c r="D99" s="124" t="str">
        <f>'PPTO 2027'!$D$29</f>
        <v>Gasto</v>
      </c>
      <c r="E99" s="124" t="str">
        <f>'PPTO 2027'!$F$29</f>
        <v>IPC</v>
      </c>
      <c r="F99" s="124" t="str">
        <f>CHOOSE(2,"Ene","Feb","Mar","Abr","May","Jun","Jul","Ago","Sep","Oct","Nov","Dic")</f>
        <v>Feb</v>
      </c>
      <c r="G99" s="124">
        <v>2</v>
      </c>
      <c r="H99" s="124">
        <f>'PPTO 2027'!$J$29</f>
        <v>7000000</v>
      </c>
      <c r="I99" s="124">
        <f>'PPTO 2027'!$W$29</f>
        <v>7280000</v>
      </c>
      <c r="J99" s="124">
        <f t="shared" si="3"/>
        <v>280000</v>
      </c>
      <c r="K99" s="124">
        <f t="shared" si="4"/>
        <v>280000</v>
      </c>
      <c r="L99" s="124">
        <f t="shared" si="5"/>
        <v>0.04</v>
      </c>
      <c r="M99" s="124">
        <f>IFERROR(INDEX(tReal27[[Ene]:[Dic]],MATCH(C99,tReal27[Cuenta],0),2),0)</f>
        <v>7302000</v>
      </c>
    </row>
    <row r="100" spans="1:13" x14ac:dyDescent="0.4">
      <c r="A100" s="124" t="str">
        <f>'PPTO 2027'!$E$29</f>
        <v>Administración</v>
      </c>
      <c r="B100" s="124" t="str">
        <f>'PPTO 2027'!$C$29</f>
        <v>Gastos de administración</v>
      </c>
      <c r="C100" s="124" t="str">
        <f>'PPTO 2027'!$B$29</f>
        <v>Servicios públicos</v>
      </c>
      <c r="D100" s="124" t="str">
        <f>'PPTO 2027'!$D$29</f>
        <v>Gasto</v>
      </c>
      <c r="E100" s="124" t="str">
        <f>'PPTO 2027'!$F$29</f>
        <v>IPC</v>
      </c>
      <c r="F100" s="124" t="str">
        <f>CHOOSE(3,"Ene","Feb","Mar","Abr","May","Jun","Jul","Ago","Sep","Oct","Nov","Dic")</f>
        <v>Mar</v>
      </c>
      <c r="G100" s="124">
        <v>3</v>
      </c>
      <c r="H100" s="124">
        <f>'PPTO 2027'!$K$29</f>
        <v>7000000</v>
      </c>
      <c r="I100" s="124">
        <f>'PPTO 2027'!$X$29</f>
        <v>7280000</v>
      </c>
      <c r="J100" s="124">
        <f t="shared" si="3"/>
        <v>280000</v>
      </c>
      <c r="K100" s="124">
        <f t="shared" si="4"/>
        <v>280000</v>
      </c>
      <c r="L100" s="124">
        <f t="shared" si="5"/>
        <v>0.04</v>
      </c>
      <c r="M100" s="124">
        <f>IFERROR(INDEX(tReal27[[Ene]:[Dic]],MATCH(C100,tReal27[Cuenta],0),3),0)</f>
        <v>7231000</v>
      </c>
    </row>
    <row r="101" spans="1:13" x14ac:dyDescent="0.4">
      <c r="A101" s="124" t="str">
        <f>'PPTO 2027'!$E$29</f>
        <v>Administración</v>
      </c>
      <c r="B101" s="124" t="str">
        <f>'PPTO 2027'!$C$29</f>
        <v>Gastos de administración</v>
      </c>
      <c r="C101" s="124" t="str">
        <f>'PPTO 2027'!$B$29</f>
        <v>Servicios públicos</v>
      </c>
      <c r="D101" s="124" t="str">
        <f>'PPTO 2027'!$D$29</f>
        <v>Gasto</v>
      </c>
      <c r="E101" s="124" t="str">
        <f>'PPTO 2027'!$F$29</f>
        <v>IPC</v>
      </c>
      <c r="F101" s="124" t="str">
        <f>CHOOSE(4,"Ene","Feb","Mar","Abr","May","Jun","Jul","Ago","Sep","Oct","Nov","Dic")</f>
        <v>Abr</v>
      </c>
      <c r="G101" s="124">
        <v>4</v>
      </c>
      <c r="H101" s="124">
        <f>'PPTO 2027'!$L$29</f>
        <v>7000000</v>
      </c>
      <c r="I101" s="124">
        <f>'PPTO 2027'!$Y$29</f>
        <v>7280000</v>
      </c>
      <c r="J101" s="124">
        <f t="shared" si="3"/>
        <v>280000</v>
      </c>
      <c r="K101" s="124">
        <f t="shared" si="4"/>
        <v>280000</v>
      </c>
      <c r="L101" s="124">
        <f t="shared" si="5"/>
        <v>0.04</v>
      </c>
      <c r="M101" s="124">
        <f>IFERROR(INDEX(tReal27[[Ene]:[Dic]],MATCH(C101,tReal27[Cuenta],0),4),0)</f>
        <v>7322000</v>
      </c>
    </row>
    <row r="102" spans="1:13" x14ac:dyDescent="0.4">
      <c r="A102" s="124" t="str">
        <f>'PPTO 2027'!$E$29</f>
        <v>Administración</v>
      </c>
      <c r="B102" s="124" t="str">
        <f>'PPTO 2027'!$C$29</f>
        <v>Gastos de administración</v>
      </c>
      <c r="C102" s="124" t="str">
        <f>'PPTO 2027'!$B$29</f>
        <v>Servicios públicos</v>
      </c>
      <c r="D102" s="124" t="str">
        <f>'PPTO 2027'!$D$29</f>
        <v>Gasto</v>
      </c>
      <c r="E102" s="124" t="str">
        <f>'PPTO 2027'!$F$29</f>
        <v>IPC</v>
      </c>
      <c r="F102" s="124" t="str">
        <f>CHOOSE(5,"Ene","Feb","Mar","Abr","May","Jun","Jul","Ago","Sep","Oct","Nov","Dic")</f>
        <v>May</v>
      </c>
      <c r="G102" s="124">
        <v>5</v>
      </c>
      <c r="H102" s="124">
        <f>'PPTO 2027'!$M$29</f>
        <v>7000000</v>
      </c>
      <c r="I102" s="124">
        <f>'PPTO 2027'!$Z$29</f>
        <v>7280000</v>
      </c>
      <c r="J102" s="124">
        <f t="shared" si="3"/>
        <v>280000</v>
      </c>
      <c r="K102" s="124">
        <f t="shared" si="4"/>
        <v>280000</v>
      </c>
      <c r="L102" s="124">
        <f t="shared" si="5"/>
        <v>0.04</v>
      </c>
      <c r="M102" s="124">
        <f>IFERROR(INDEX(tReal27[[Ene]:[Dic]],MATCH(C102,tReal27[Cuenta],0),5),0)</f>
        <v>7206000</v>
      </c>
    </row>
    <row r="103" spans="1:13" x14ac:dyDescent="0.4">
      <c r="A103" s="124" t="str">
        <f>'PPTO 2027'!$E$29</f>
        <v>Administración</v>
      </c>
      <c r="B103" s="124" t="str">
        <f>'PPTO 2027'!$C$29</f>
        <v>Gastos de administración</v>
      </c>
      <c r="C103" s="124" t="str">
        <f>'PPTO 2027'!$B$29</f>
        <v>Servicios públicos</v>
      </c>
      <c r="D103" s="124" t="str">
        <f>'PPTO 2027'!$D$29</f>
        <v>Gasto</v>
      </c>
      <c r="E103" s="124" t="str">
        <f>'PPTO 2027'!$F$29</f>
        <v>IPC</v>
      </c>
      <c r="F103" s="124" t="str">
        <f>CHOOSE(6,"Ene","Feb","Mar","Abr","May","Jun","Jul","Ago","Sep","Oct","Nov","Dic")</f>
        <v>Jun</v>
      </c>
      <c r="G103" s="124">
        <v>6</v>
      </c>
      <c r="H103" s="124">
        <f>'PPTO 2027'!$N$29</f>
        <v>7000000</v>
      </c>
      <c r="I103" s="124">
        <f>'PPTO 2027'!$AA$29</f>
        <v>7280000</v>
      </c>
      <c r="J103" s="124">
        <f t="shared" si="3"/>
        <v>280000</v>
      </c>
      <c r="K103" s="124">
        <f t="shared" si="4"/>
        <v>280000</v>
      </c>
      <c r="L103" s="124">
        <f t="shared" si="5"/>
        <v>0.04</v>
      </c>
      <c r="M103" s="124">
        <f>IFERROR(INDEX(tReal27[[Ene]:[Dic]],MATCH(C103,tReal27[Cuenta],0),6),0)</f>
        <v>7238000</v>
      </c>
    </row>
    <row r="104" spans="1:13" x14ac:dyDescent="0.4">
      <c r="A104" s="124" t="str">
        <f>'PPTO 2027'!$E$29</f>
        <v>Administración</v>
      </c>
      <c r="B104" s="124" t="str">
        <f>'PPTO 2027'!$C$29</f>
        <v>Gastos de administración</v>
      </c>
      <c r="C104" s="124" t="str">
        <f>'PPTO 2027'!$B$29</f>
        <v>Servicios públicos</v>
      </c>
      <c r="D104" s="124" t="str">
        <f>'PPTO 2027'!$D$29</f>
        <v>Gasto</v>
      </c>
      <c r="E104" s="124" t="str">
        <f>'PPTO 2027'!$F$29</f>
        <v>IPC</v>
      </c>
      <c r="F104" s="124" t="str">
        <f>CHOOSE(7,"Ene","Feb","Mar","Abr","May","Jun","Jul","Ago","Sep","Oct","Nov","Dic")</f>
        <v>Jul</v>
      </c>
      <c r="G104" s="124">
        <v>7</v>
      </c>
      <c r="H104" s="124">
        <f>'PPTO 2027'!$O$29</f>
        <v>7000000</v>
      </c>
      <c r="I104" s="124">
        <f>'PPTO 2027'!$AB$29</f>
        <v>7280000</v>
      </c>
      <c r="J104" s="124">
        <f t="shared" si="3"/>
        <v>280000</v>
      </c>
      <c r="K104" s="124">
        <f t="shared" si="4"/>
        <v>280000</v>
      </c>
      <c r="L104" s="124">
        <f t="shared" si="5"/>
        <v>0.04</v>
      </c>
      <c r="M104" s="124">
        <f>IFERROR(INDEX(tReal27[[Ene]:[Dic]],MATCH(C104,tReal27[Cuenta],0),7),0)</f>
        <v>7276000</v>
      </c>
    </row>
    <row r="105" spans="1:13" x14ac:dyDescent="0.4">
      <c r="A105" s="124" t="str">
        <f>'PPTO 2027'!$E$29</f>
        <v>Administración</v>
      </c>
      <c r="B105" s="124" t="str">
        <f>'PPTO 2027'!$C$29</f>
        <v>Gastos de administración</v>
      </c>
      <c r="C105" s="124" t="str">
        <f>'PPTO 2027'!$B$29</f>
        <v>Servicios públicos</v>
      </c>
      <c r="D105" s="124" t="str">
        <f>'PPTO 2027'!$D$29</f>
        <v>Gasto</v>
      </c>
      <c r="E105" s="124" t="str">
        <f>'PPTO 2027'!$F$29</f>
        <v>IPC</v>
      </c>
      <c r="F105" s="124" t="str">
        <f>CHOOSE(8,"Ene","Feb","Mar","Abr","May","Jun","Jul","Ago","Sep","Oct","Nov","Dic")</f>
        <v>Ago</v>
      </c>
      <c r="G105" s="124">
        <v>8</v>
      </c>
      <c r="H105" s="124">
        <f>'PPTO 2027'!$P$29</f>
        <v>7000000</v>
      </c>
      <c r="I105" s="124">
        <f>'PPTO 2027'!$AC$29</f>
        <v>7280000</v>
      </c>
      <c r="J105" s="124">
        <f t="shared" si="3"/>
        <v>280000</v>
      </c>
      <c r="K105" s="124">
        <f t="shared" si="4"/>
        <v>280000</v>
      </c>
      <c r="L105" s="124">
        <f t="shared" si="5"/>
        <v>0.04</v>
      </c>
      <c r="M105" s="124">
        <f>IFERROR(INDEX(tReal27[[Ene]:[Dic]],MATCH(C105,tReal27[Cuenta],0),8),0)</f>
        <v>7396000</v>
      </c>
    </row>
    <row r="106" spans="1:13" x14ac:dyDescent="0.4">
      <c r="A106" s="124" t="str">
        <f>'PPTO 2027'!$E$29</f>
        <v>Administración</v>
      </c>
      <c r="B106" s="124" t="str">
        <f>'PPTO 2027'!$C$29</f>
        <v>Gastos de administración</v>
      </c>
      <c r="C106" s="124" t="str">
        <f>'PPTO 2027'!$B$29</f>
        <v>Servicios públicos</v>
      </c>
      <c r="D106" s="124" t="str">
        <f>'PPTO 2027'!$D$29</f>
        <v>Gasto</v>
      </c>
      <c r="E106" s="124" t="str">
        <f>'PPTO 2027'!$F$29</f>
        <v>IPC</v>
      </c>
      <c r="F106" s="124" t="str">
        <f>CHOOSE(9,"Ene","Feb","Mar","Abr","May","Jun","Jul","Ago","Sep","Oct","Nov","Dic")</f>
        <v>Sep</v>
      </c>
      <c r="G106" s="124">
        <v>9</v>
      </c>
      <c r="H106" s="124">
        <f>'PPTO 2027'!$Q$29</f>
        <v>7000000</v>
      </c>
      <c r="I106" s="124">
        <f>'PPTO 2027'!$AD$29</f>
        <v>7280000</v>
      </c>
      <c r="J106" s="124">
        <f t="shared" si="3"/>
        <v>280000</v>
      </c>
      <c r="K106" s="124">
        <f t="shared" si="4"/>
        <v>280000</v>
      </c>
      <c r="L106" s="124">
        <f t="shared" si="5"/>
        <v>0.04</v>
      </c>
      <c r="M106" s="124">
        <f>IFERROR(INDEX(tReal27[[Ene]:[Dic]],MATCH(C106,tReal27[Cuenta],0),9),0)</f>
        <v>7373000</v>
      </c>
    </row>
    <row r="107" spans="1:13" x14ac:dyDescent="0.4">
      <c r="A107" s="124" t="str">
        <f>'PPTO 2027'!$E$29</f>
        <v>Administración</v>
      </c>
      <c r="B107" s="124" t="str">
        <f>'PPTO 2027'!$C$29</f>
        <v>Gastos de administración</v>
      </c>
      <c r="C107" s="124" t="str">
        <f>'PPTO 2027'!$B$29</f>
        <v>Servicios públicos</v>
      </c>
      <c r="D107" s="124" t="str">
        <f>'PPTO 2027'!$D$29</f>
        <v>Gasto</v>
      </c>
      <c r="E107" s="124" t="str">
        <f>'PPTO 2027'!$F$29</f>
        <v>IPC</v>
      </c>
      <c r="F107" s="124" t="str">
        <f>CHOOSE(10,"Ene","Feb","Mar","Abr","May","Jun","Jul","Ago","Sep","Oct","Nov","Dic")</f>
        <v>Oct</v>
      </c>
      <c r="G107" s="124">
        <v>10</v>
      </c>
      <c r="H107" s="124">
        <f>'PPTO 2027'!$R$29</f>
        <v>7000000</v>
      </c>
      <c r="I107" s="124">
        <f>'PPTO 2027'!$AE$29</f>
        <v>7280000</v>
      </c>
      <c r="J107" s="124">
        <f t="shared" si="3"/>
        <v>280000</v>
      </c>
      <c r="K107" s="124">
        <f t="shared" si="4"/>
        <v>280000</v>
      </c>
      <c r="L107" s="124">
        <f t="shared" si="5"/>
        <v>0.04</v>
      </c>
      <c r="M107" s="124">
        <f>IFERROR(INDEX(tReal27[[Ene]:[Dic]],MATCH(C107,tReal27[Cuenta],0),10),0)</f>
        <v>7164000</v>
      </c>
    </row>
    <row r="108" spans="1:13" x14ac:dyDescent="0.4">
      <c r="A108" s="124" t="str">
        <f>'PPTO 2027'!$E$29</f>
        <v>Administración</v>
      </c>
      <c r="B108" s="124" t="str">
        <f>'PPTO 2027'!$C$29</f>
        <v>Gastos de administración</v>
      </c>
      <c r="C108" s="124" t="str">
        <f>'PPTO 2027'!$B$29</f>
        <v>Servicios públicos</v>
      </c>
      <c r="D108" s="124" t="str">
        <f>'PPTO 2027'!$D$29</f>
        <v>Gasto</v>
      </c>
      <c r="E108" s="124" t="str">
        <f>'PPTO 2027'!$F$29</f>
        <v>IPC</v>
      </c>
      <c r="F108" s="124" t="str">
        <f>CHOOSE(11,"Ene","Feb","Mar","Abr","May","Jun","Jul","Ago","Sep","Oct","Nov","Dic")</f>
        <v>Nov</v>
      </c>
      <c r="G108" s="124">
        <v>11</v>
      </c>
      <c r="H108" s="124">
        <f>'PPTO 2027'!$S$29</f>
        <v>7000000</v>
      </c>
      <c r="I108" s="124">
        <f>'PPTO 2027'!$AF$29</f>
        <v>7280000</v>
      </c>
      <c r="J108" s="124">
        <f t="shared" si="3"/>
        <v>280000</v>
      </c>
      <c r="K108" s="124">
        <f t="shared" si="4"/>
        <v>280000</v>
      </c>
      <c r="L108" s="124">
        <f t="shared" si="5"/>
        <v>0.04</v>
      </c>
      <c r="M108" s="124">
        <f>IFERROR(INDEX(tReal27[[Ene]:[Dic]],MATCH(C108,tReal27[Cuenta],0),11),0)</f>
        <v>7263000</v>
      </c>
    </row>
    <row r="109" spans="1:13" x14ac:dyDescent="0.4">
      <c r="A109" s="124" t="str">
        <f>'PPTO 2027'!$E$29</f>
        <v>Administración</v>
      </c>
      <c r="B109" s="124" t="str">
        <f>'PPTO 2027'!$C$29</f>
        <v>Gastos de administración</v>
      </c>
      <c r="C109" s="124" t="str">
        <f>'PPTO 2027'!$B$29</f>
        <v>Servicios públicos</v>
      </c>
      <c r="D109" s="124" t="str">
        <f>'PPTO 2027'!$D$29</f>
        <v>Gasto</v>
      </c>
      <c r="E109" s="124" t="str">
        <f>'PPTO 2027'!$F$29</f>
        <v>IPC</v>
      </c>
      <c r="F109" s="124" t="str">
        <f>CHOOSE(12,"Ene","Feb","Mar","Abr","May","Jun","Jul","Ago","Sep","Oct","Nov","Dic")</f>
        <v>Dic</v>
      </c>
      <c r="G109" s="124">
        <v>12</v>
      </c>
      <c r="H109" s="124">
        <f>'PPTO 2027'!$T$29</f>
        <v>7000000</v>
      </c>
      <c r="I109" s="124">
        <f>'PPTO 2027'!$AG$29</f>
        <v>7280000</v>
      </c>
      <c r="J109" s="124">
        <f t="shared" si="3"/>
        <v>280000</v>
      </c>
      <c r="K109" s="124">
        <f t="shared" si="4"/>
        <v>280000</v>
      </c>
      <c r="L109" s="124">
        <f t="shared" si="5"/>
        <v>0.04</v>
      </c>
      <c r="M109" s="124">
        <f>IFERROR(INDEX(tReal27[[Ene]:[Dic]],MATCH(C109,tReal27[Cuenta],0),12),0)</f>
        <v>7437000</v>
      </c>
    </row>
    <row r="110" spans="1:13" x14ac:dyDescent="0.4">
      <c r="A110" s="124" t="str">
        <f>'PPTO 2027'!$E$30</f>
        <v>Administración</v>
      </c>
      <c r="B110" s="124" t="str">
        <f>'PPTO 2027'!$C$30</f>
        <v>Gastos de administración</v>
      </c>
      <c r="C110" s="124" t="str">
        <f>'PPTO 2027'!$B$30</f>
        <v>Honorarios profesionales</v>
      </c>
      <c r="D110" s="124" t="str">
        <f>'PPTO 2027'!$D$30</f>
        <v>Gasto</v>
      </c>
      <c r="E110" s="124" t="str">
        <f>'PPTO 2027'!$F$30</f>
        <v>IPC</v>
      </c>
      <c r="F110" s="124" t="str">
        <f>CHOOSE(1,"Ene","Feb","Mar","Abr","May","Jun","Jul","Ago","Sep","Oct","Nov","Dic")</f>
        <v>Ene</v>
      </c>
      <c r="G110" s="124">
        <v>1</v>
      </c>
      <c r="H110" s="124">
        <f>'PPTO 2027'!$I$30</f>
        <v>10000000</v>
      </c>
      <c r="I110" s="124">
        <f>'PPTO 2027'!$V$30</f>
        <v>7800000</v>
      </c>
      <c r="J110" s="124">
        <f t="shared" si="3"/>
        <v>-2200000</v>
      </c>
      <c r="K110" s="124">
        <f t="shared" si="4"/>
        <v>2200000</v>
      </c>
      <c r="L110" s="124">
        <f t="shared" si="5"/>
        <v>-0.22</v>
      </c>
      <c r="M110" s="124">
        <f>IFERROR(INDEX(tReal27[[Ene]:[Dic]],MATCH(C110,tReal27[Cuenta],0),1),0)</f>
        <v>8717000</v>
      </c>
    </row>
    <row r="111" spans="1:13" x14ac:dyDescent="0.4">
      <c r="A111" s="124" t="str">
        <f>'PPTO 2027'!$E$30</f>
        <v>Administración</v>
      </c>
      <c r="B111" s="124" t="str">
        <f>'PPTO 2027'!$C$30</f>
        <v>Gastos de administración</v>
      </c>
      <c r="C111" s="124" t="str">
        <f>'PPTO 2027'!$B$30</f>
        <v>Honorarios profesionales</v>
      </c>
      <c r="D111" s="124" t="str">
        <f>'PPTO 2027'!$D$30</f>
        <v>Gasto</v>
      </c>
      <c r="E111" s="124" t="str">
        <f>'PPTO 2027'!$F$30</f>
        <v>IPC</v>
      </c>
      <c r="F111" s="124" t="str">
        <f>CHOOSE(2,"Ene","Feb","Mar","Abr","May","Jun","Jul","Ago","Sep","Oct","Nov","Dic")</f>
        <v>Feb</v>
      </c>
      <c r="G111" s="124">
        <v>2</v>
      </c>
      <c r="H111" s="124">
        <f>'PPTO 2027'!$J$30</f>
        <v>10000000</v>
      </c>
      <c r="I111" s="124">
        <f>'PPTO 2027'!$W$30</f>
        <v>7800000</v>
      </c>
      <c r="J111" s="124">
        <f t="shared" si="3"/>
        <v>-2200000</v>
      </c>
      <c r="K111" s="124">
        <f t="shared" si="4"/>
        <v>2200000</v>
      </c>
      <c r="L111" s="124">
        <f t="shared" si="5"/>
        <v>-0.22</v>
      </c>
      <c r="M111" s="124">
        <f>IFERROR(INDEX(tReal27[[Ene]:[Dic]],MATCH(C111,tReal27[Cuenta],0),2),0)</f>
        <v>8803000</v>
      </c>
    </row>
    <row r="112" spans="1:13" x14ac:dyDescent="0.4">
      <c r="A112" s="124" t="str">
        <f>'PPTO 2027'!$E$30</f>
        <v>Administración</v>
      </c>
      <c r="B112" s="124" t="str">
        <f>'PPTO 2027'!$C$30</f>
        <v>Gastos de administración</v>
      </c>
      <c r="C112" s="124" t="str">
        <f>'PPTO 2027'!$B$30</f>
        <v>Honorarios profesionales</v>
      </c>
      <c r="D112" s="124" t="str">
        <f>'PPTO 2027'!$D$30</f>
        <v>Gasto</v>
      </c>
      <c r="E112" s="124" t="str">
        <f>'PPTO 2027'!$F$30</f>
        <v>IPC</v>
      </c>
      <c r="F112" s="124" t="str">
        <f>CHOOSE(3,"Ene","Feb","Mar","Abr","May","Jun","Jul","Ago","Sep","Oct","Nov","Dic")</f>
        <v>Mar</v>
      </c>
      <c r="G112" s="124">
        <v>3</v>
      </c>
      <c r="H112" s="124">
        <f>'PPTO 2027'!$K$30</f>
        <v>10000000</v>
      </c>
      <c r="I112" s="124">
        <f>'PPTO 2027'!$X$30</f>
        <v>7800000</v>
      </c>
      <c r="J112" s="124">
        <f t="shared" si="3"/>
        <v>-2200000</v>
      </c>
      <c r="K112" s="124">
        <f t="shared" si="4"/>
        <v>2200000</v>
      </c>
      <c r="L112" s="124">
        <f t="shared" si="5"/>
        <v>-0.22</v>
      </c>
      <c r="M112" s="124">
        <f>IFERROR(INDEX(tReal27[[Ene]:[Dic]],MATCH(C112,tReal27[Cuenta],0),3),0)</f>
        <v>8862000</v>
      </c>
    </row>
    <row r="113" spans="1:13" x14ac:dyDescent="0.4">
      <c r="A113" s="124" t="str">
        <f>'PPTO 2027'!$E$30</f>
        <v>Administración</v>
      </c>
      <c r="B113" s="124" t="str">
        <f>'PPTO 2027'!$C$30</f>
        <v>Gastos de administración</v>
      </c>
      <c r="C113" s="124" t="str">
        <f>'PPTO 2027'!$B$30</f>
        <v>Honorarios profesionales</v>
      </c>
      <c r="D113" s="124" t="str">
        <f>'PPTO 2027'!$D$30</f>
        <v>Gasto</v>
      </c>
      <c r="E113" s="124" t="str">
        <f>'PPTO 2027'!$F$30</f>
        <v>IPC</v>
      </c>
      <c r="F113" s="124" t="str">
        <f>CHOOSE(4,"Ene","Feb","Mar","Abr","May","Jun","Jul","Ago","Sep","Oct","Nov","Dic")</f>
        <v>Abr</v>
      </c>
      <c r="G113" s="124">
        <v>4</v>
      </c>
      <c r="H113" s="124">
        <f>'PPTO 2027'!$L$30</f>
        <v>10000000</v>
      </c>
      <c r="I113" s="124">
        <f>'PPTO 2027'!$Y$30</f>
        <v>7800000</v>
      </c>
      <c r="J113" s="124">
        <f t="shared" si="3"/>
        <v>-2200000</v>
      </c>
      <c r="K113" s="124">
        <f t="shared" si="4"/>
        <v>2200000</v>
      </c>
      <c r="L113" s="124">
        <f t="shared" si="5"/>
        <v>-0.22</v>
      </c>
      <c r="M113" s="124">
        <f>IFERROR(INDEX(tReal27[[Ene]:[Dic]],MATCH(C113,tReal27[Cuenta],0),4),0)</f>
        <v>8628000</v>
      </c>
    </row>
    <row r="114" spans="1:13" x14ac:dyDescent="0.4">
      <c r="A114" s="124" t="str">
        <f>'PPTO 2027'!$E$30</f>
        <v>Administración</v>
      </c>
      <c r="B114" s="124" t="str">
        <f>'PPTO 2027'!$C$30</f>
        <v>Gastos de administración</v>
      </c>
      <c r="C114" s="124" t="str">
        <f>'PPTO 2027'!$B$30</f>
        <v>Honorarios profesionales</v>
      </c>
      <c r="D114" s="124" t="str">
        <f>'PPTO 2027'!$D$30</f>
        <v>Gasto</v>
      </c>
      <c r="E114" s="124" t="str">
        <f>'PPTO 2027'!$F$30</f>
        <v>IPC</v>
      </c>
      <c r="F114" s="124" t="str">
        <f>CHOOSE(5,"Ene","Feb","Mar","Abr","May","Jun","Jul","Ago","Sep","Oct","Nov","Dic")</f>
        <v>May</v>
      </c>
      <c r="G114" s="124">
        <v>5</v>
      </c>
      <c r="H114" s="124">
        <f>'PPTO 2027'!$M$30</f>
        <v>10000000</v>
      </c>
      <c r="I114" s="124">
        <f>'PPTO 2027'!$Z$30</f>
        <v>7800000</v>
      </c>
      <c r="J114" s="124">
        <f t="shared" si="3"/>
        <v>-2200000</v>
      </c>
      <c r="K114" s="124">
        <f t="shared" si="4"/>
        <v>2200000</v>
      </c>
      <c r="L114" s="124">
        <f t="shared" si="5"/>
        <v>-0.22</v>
      </c>
      <c r="M114" s="124">
        <f>IFERROR(INDEX(tReal27[[Ene]:[Dic]],MATCH(C114,tReal27[Cuenta],0),5),0)</f>
        <v>8768000</v>
      </c>
    </row>
    <row r="115" spans="1:13" x14ac:dyDescent="0.4">
      <c r="A115" s="124" t="str">
        <f>'PPTO 2027'!$E$30</f>
        <v>Administración</v>
      </c>
      <c r="B115" s="124" t="str">
        <f>'PPTO 2027'!$C$30</f>
        <v>Gastos de administración</v>
      </c>
      <c r="C115" s="124" t="str">
        <f>'PPTO 2027'!$B$30</f>
        <v>Honorarios profesionales</v>
      </c>
      <c r="D115" s="124" t="str">
        <f>'PPTO 2027'!$D$30</f>
        <v>Gasto</v>
      </c>
      <c r="E115" s="124" t="str">
        <f>'PPTO 2027'!$F$30</f>
        <v>IPC</v>
      </c>
      <c r="F115" s="124" t="str">
        <f>CHOOSE(6,"Ene","Feb","Mar","Abr","May","Jun","Jul","Ago","Sep","Oct","Nov","Dic")</f>
        <v>Jun</v>
      </c>
      <c r="G115" s="124">
        <v>6</v>
      </c>
      <c r="H115" s="124">
        <f>'PPTO 2027'!$N$30</f>
        <v>10000000</v>
      </c>
      <c r="I115" s="124">
        <f>'PPTO 2027'!$AA$30</f>
        <v>7800000</v>
      </c>
      <c r="J115" s="124">
        <f t="shared" si="3"/>
        <v>-2200000</v>
      </c>
      <c r="K115" s="124">
        <f t="shared" si="4"/>
        <v>2200000</v>
      </c>
      <c r="L115" s="124">
        <f t="shared" si="5"/>
        <v>-0.22</v>
      </c>
      <c r="M115" s="124">
        <f>IFERROR(INDEX(tReal27[[Ene]:[Dic]],MATCH(C115,tReal27[Cuenta],0),6),0)</f>
        <v>8712000</v>
      </c>
    </row>
    <row r="116" spans="1:13" x14ac:dyDescent="0.4">
      <c r="A116" s="124" t="str">
        <f>'PPTO 2027'!$E$30</f>
        <v>Administración</v>
      </c>
      <c r="B116" s="124" t="str">
        <f>'PPTO 2027'!$C$30</f>
        <v>Gastos de administración</v>
      </c>
      <c r="C116" s="124" t="str">
        <f>'PPTO 2027'!$B$30</f>
        <v>Honorarios profesionales</v>
      </c>
      <c r="D116" s="124" t="str">
        <f>'PPTO 2027'!$D$30</f>
        <v>Gasto</v>
      </c>
      <c r="E116" s="124" t="str">
        <f>'PPTO 2027'!$F$30</f>
        <v>IPC</v>
      </c>
      <c r="F116" s="124" t="str">
        <f>CHOOSE(7,"Ene","Feb","Mar","Abr","May","Jun","Jul","Ago","Sep","Oct","Nov","Dic")</f>
        <v>Jul</v>
      </c>
      <c r="G116" s="124">
        <v>7</v>
      </c>
      <c r="H116" s="124">
        <f>'PPTO 2027'!$O$30</f>
        <v>10000000</v>
      </c>
      <c r="I116" s="124">
        <f>'PPTO 2027'!$AB$30</f>
        <v>7800000</v>
      </c>
      <c r="J116" s="124">
        <f t="shared" si="3"/>
        <v>-2200000</v>
      </c>
      <c r="K116" s="124">
        <f t="shared" si="4"/>
        <v>2200000</v>
      </c>
      <c r="L116" s="124">
        <f t="shared" si="5"/>
        <v>-0.22</v>
      </c>
      <c r="M116" s="124">
        <f>IFERROR(INDEX(tReal27[[Ene]:[Dic]],MATCH(C116,tReal27[Cuenta],0),7),0)</f>
        <v>8795000</v>
      </c>
    </row>
    <row r="117" spans="1:13" x14ac:dyDescent="0.4">
      <c r="A117" s="124" t="str">
        <f>'PPTO 2027'!$E$30</f>
        <v>Administración</v>
      </c>
      <c r="B117" s="124" t="str">
        <f>'PPTO 2027'!$C$30</f>
        <v>Gastos de administración</v>
      </c>
      <c r="C117" s="124" t="str">
        <f>'PPTO 2027'!$B$30</f>
        <v>Honorarios profesionales</v>
      </c>
      <c r="D117" s="124" t="str">
        <f>'PPTO 2027'!$D$30</f>
        <v>Gasto</v>
      </c>
      <c r="E117" s="124" t="str">
        <f>'PPTO 2027'!$F$30</f>
        <v>IPC</v>
      </c>
      <c r="F117" s="124" t="str">
        <f>CHOOSE(8,"Ene","Feb","Mar","Abr","May","Jun","Jul","Ago","Sep","Oct","Nov","Dic")</f>
        <v>Ago</v>
      </c>
      <c r="G117" s="124">
        <v>8</v>
      </c>
      <c r="H117" s="124">
        <f>'PPTO 2027'!$P$30</f>
        <v>10000000</v>
      </c>
      <c r="I117" s="124">
        <f>'PPTO 2027'!$AC$30</f>
        <v>7800000</v>
      </c>
      <c r="J117" s="124">
        <f t="shared" si="3"/>
        <v>-2200000</v>
      </c>
      <c r="K117" s="124">
        <f t="shared" si="4"/>
        <v>2200000</v>
      </c>
      <c r="L117" s="124">
        <f t="shared" si="5"/>
        <v>-0.22</v>
      </c>
      <c r="M117" s="124">
        <f>IFERROR(INDEX(tReal27[[Ene]:[Dic]],MATCH(C117,tReal27[Cuenta],0),8),0)</f>
        <v>8695000</v>
      </c>
    </row>
    <row r="118" spans="1:13" x14ac:dyDescent="0.4">
      <c r="A118" s="124" t="str">
        <f>'PPTO 2027'!$E$30</f>
        <v>Administración</v>
      </c>
      <c r="B118" s="124" t="str">
        <f>'PPTO 2027'!$C$30</f>
        <v>Gastos de administración</v>
      </c>
      <c r="C118" s="124" t="str">
        <f>'PPTO 2027'!$B$30</f>
        <v>Honorarios profesionales</v>
      </c>
      <c r="D118" s="124" t="str">
        <f>'PPTO 2027'!$D$30</f>
        <v>Gasto</v>
      </c>
      <c r="E118" s="124" t="str">
        <f>'PPTO 2027'!$F$30</f>
        <v>IPC</v>
      </c>
      <c r="F118" s="124" t="str">
        <f>CHOOSE(9,"Ene","Feb","Mar","Abr","May","Jun","Jul","Ago","Sep","Oct","Nov","Dic")</f>
        <v>Sep</v>
      </c>
      <c r="G118" s="124">
        <v>9</v>
      </c>
      <c r="H118" s="124">
        <f>'PPTO 2027'!$Q$30</f>
        <v>10000000</v>
      </c>
      <c r="I118" s="124">
        <f>'PPTO 2027'!$AD$30</f>
        <v>7800000</v>
      </c>
      <c r="J118" s="124">
        <f t="shared" si="3"/>
        <v>-2200000</v>
      </c>
      <c r="K118" s="124">
        <f t="shared" si="4"/>
        <v>2200000</v>
      </c>
      <c r="L118" s="124">
        <f t="shared" si="5"/>
        <v>-0.22</v>
      </c>
      <c r="M118" s="124">
        <f>IFERROR(INDEX(tReal27[[Ene]:[Dic]],MATCH(C118,tReal27[Cuenta],0),9),0)</f>
        <v>8602000</v>
      </c>
    </row>
    <row r="119" spans="1:13" x14ac:dyDescent="0.4">
      <c r="A119" s="124" t="str">
        <f>'PPTO 2027'!$E$30</f>
        <v>Administración</v>
      </c>
      <c r="B119" s="124" t="str">
        <f>'PPTO 2027'!$C$30</f>
        <v>Gastos de administración</v>
      </c>
      <c r="C119" s="124" t="str">
        <f>'PPTO 2027'!$B$30</f>
        <v>Honorarios profesionales</v>
      </c>
      <c r="D119" s="124" t="str">
        <f>'PPTO 2027'!$D$30</f>
        <v>Gasto</v>
      </c>
      <c r="E119" s="124" t="str">
        <f>'PPTO 2027'!$F$30</f>
        <v>IPC</v>
      </c>
      <c r="F119" s="124" t="str">
        <f>CHOOSE(10,"Ene","Feb","Mar","Abr","May","Jun","Jul","Ago","Sep","Oct","Nov","Dic")</f>
        <v>Oct</v>
      </c>
      <c r="G119" s="124">
        <v>10</v>
      </c>
      <c r="H119" s="124">
        <f>'PPTO 2027'!$R$30</f>
        <v>10000000</v>
      </c>
      <c r="I119" s="124">
        <f>'PPTO 2027'!$AE$30</f>
        <v>7800000</v>
      </c>
      <c r="J119" s="124">
        <f t="shared" si="3"/>
        <v>-2200000</v>
      </c>
      <c r="K119" s="124">
        <f t="shared" si="4"/>
        <v>2200000</v>
      </c>
      <c r="L119" s="124">
        <f t="shared" si="5"/>
        <v>-0.22</v>
      </c>
      <c r="M119" s="124">
        <f>IFERROR(INDEX(tReal27[[Ene]:[Dic]],MATCH(C119,tReal27[Cuenta],0),10),0)</f>
        <v>8573000</v>
      </c>
    </row>
    <row r="120" spans="1:13" x14ac:dyDescent="0.4">
      <c r="A120" s="124" t="str">
        <f>'PPTO 2027'!$E$30</f>
        <v>Administración</v>
      </c>
      <c r="B120" s="124" t="str">
        <f>'PPTO 2027'!$C$30</f>
        <v>Gastos de administración</v>
      </c>
      <c r="C120" s="124" t="str">
        <f>'PPTO 2027'!$B$30</f>
        <v>Honorarios profesionales</v>
      </c>
      <c r="D120" s="124" t="str">
        <f>'PPTO 2027'!$D$30</f>
        <v>Gasto</v>
      </c>
      <c r="E120" s="124" t="str">
        <f>'PPTO 2027'!$F$30</f>
        <v>IPC</v>
      </c>
      <c r="F120" s="124" t="str">
        <f>CHOOSE(11,"Ene","Feb","Mar","Abr","May","Jun","Jul","Ago","Sep","Oct","Nov","Dic")</f>
        <v>Nov</v>
      </c>
      <c r="G120" s="124">
        <v>11</v>
      </c>
      <c r="H120" s="124">
        <f>'PPTO 2027'!$S$30</f>
        <v>10000000</v>
      </c>
      <c r="I120" s="124">
        <f>'PPTO 2027'!$AF$30</f>
        <v>7800000</v>
      </c>
      <c r="J120" s="124">
        <f t="shared" si="3"/>
        <v>-2200000</v>
      </c>
      <c r="K120" s="124">
        <f t="shared" si="4"/>
        <v>2200000</v>
      </c>
      <c r="L120" s="124">
        <f t="shared" si="5"/>
        <v>-0.22</v>
      </c>
      <c r="M120" s="124">
        <f>IFERROR(INDEX(tReal27[[Ene]:[Dic]],MATCH(C120,tReal27[Cuenta],0),11),0)</f>
        <v>8566000</v>
      </c>
    </row>
    <row r="121" spans="1:13" x14ac:dyDescent="0.4">
      <c r="A121" s="124" t="str">
        <f>'PPTO 2027'!$E$30</f>
        <v>Administración</v>
      </c>
      <c r="B121" s="124" t="str">
        <f>'PPTO 2027'!$C$30</f>
        <v>Gastos de administración</v>
      </c>
      <c r="C121" s="124" t="str">
        <f>'PPTO 2027'!$B$30</f>
        <v>Honorarios profesionales</v>
      </c>
      <c r="D121" s="124" t="str">
        <f>'PPTO 2027'!$D$30</f>
        <v>Gasto</v>
      </c>
      <c r="E121" s="124" t="str">
        <f>'PPTO 2027'!$F$30</f>
        <v>IPC</v>
      </c>
      <c r="F121" s="124" t="str">
        <f>CHOOSE(12,"Ene","Feb","Mar","Abr","May","Jun","Jul","Ago","Sep","Oct","Nov","Dic")</f>
        <v>Dic</v>
      </c>
      <c r="G121" s="124">
        <v>12</v>
      </c>
      <c r="H121" s="124">
        <f>'PPTO 2027'!$T$30</f>
        <v>10000000</v>
      </c>
      <c r="I121" s="124">
        <f>'PPTO 2027'!$AG$30</f>
        <v>7800000</v>
      </c>
      <c r="J121" s="124">
        <f t="shared" si="3"/>
        <v>-2200000</v>
      </c>
      <c r="K121" s="124">
        <f t="shared" si="4"/>
        <v>2200000</v>
      </c>
      <c r="L121" s="124">
        <f t="shared" si="5"/>
        <v>-0.22</v>
      </c>
      <c r="M121" s="124">
        <f>IFERROR(INDEX(tReal27[[Ene]:[Dic]],MATCH(C121,tReal27[Cuenta],0),12),0)</f>
        <v>8721000</v>
      </c>
    </row>
    <row r="122" spans="1:13" x14ac:dyDescent="0.4">
      <c r="A122" s="124" t="str">
        <f>'PPTO 2027'!$E$31</f>
        <v>Administración</v>
      </c>
      <c r="B122" s="124" t="str">
        <f>'PPTO 2027'!$C$31</f>
        <v>Gastos de administración</v>
      </c>
      <c r="C122" s="124" t="str">
        <f>'PPTO 2027'!$B$31</f>
        <v>Tecnología y software</v>
      </c>
      <c r="D122" s="124" t="str">
        <f>'PPTO 2027'!$D$31</f>
        <v>Gasto</v>
      </c>
      <c r="E122" s="124" t="str">
        <f>'PPTO 2027'!$F$31</f>
        <v>IPC</v>
      </c>
      <c r="F122" s="124" t="str">
        <f>CHOOSE(1,"Ene","Feb","Mar","Abr","May","Jun","Jul","Ago","Sep","Oct","Nov","Dic")</f>
        <v>Ene</v>
      </c>
      <c r="G122" s="124">
        <v>1</v>
      </c>
      <c r="H122" s="124">
        <f>'PPTO 2027'!$I$31</f>
        <v>8000000</v>
      </c>
      <c r="I122" s="124">
        <f>'PPTO 2027'!$V$31</f>
        <v>8320000</v>
      </c>
      <c r="J122" s="124">
        <f t="shared" si="3"/>
        <v>320000</v>
      </c>
      <c r="K122" s="124">
        <f t="shared" si="4"/>
        <v>320000</v>
      </c>
      <c r="L122" s="124">
        <f t="shared" si="5"/>
        <v>0.04</v>
      </c>
      <c r="M122" s="124">
        <f>IFERROR(INDEX(tReal27[[Ene]:[Dic]],MATCH(C122,tReal27[Cuenta],0),1),0)</f>
        <v>8113000</v>
      </c>
    </row>
    <row r="123" spans="1:13" x14ac:dyDescent="0.4">
      <c r="A123" s="124" t="str">
        <f>'PPTO 2027'!$E$31</f>
        <v>Administración</v>
      </c>
      <c r="B123" s="124" t="str">
        <f>'PPTO 2027'!$C$31</f>
        <v>Gastos de administración</v>
      </c>
      <c r="C123" s="124" t="str">
        <f>'PPTO 2027'!$B$31</f>
        <v>Tecnología y software</v>
      </c>
      <c r="D123" s="124" t="str">
        <f>'PPTO 2027'!$D$31</f>
        <v>Gasto</v>
      </c>
      <c r="E123" s="124" t="str">
        <f>'PPTO 2027'!$F$31</f>
        <v>IPC</v>
      </c>
      <c r="F123" s="124" t="str">
        <f>CHOOSE(2,"Ene","Feb","Mar","Abr","May","Jun","Jul","Ago","Sep","Oct","Nov","Dic")</f>
        <v>Feb</v>
      </c>
      <c r="G123" s="124">
        <v>2</v>
      </c>
      <c r="H123" s="124">
        <f>'PPTO 2027'!$J$31</f>
        <v>8000000</v>
      </c>
      <c r="I123" s="124">
        <f>'PPTO 2027'!$W$31</f>
        <v>8320000</v>
      </c>
      <c r="J123" s="124">
        <f t="shared" si="3"/>
        <v>320000</v>
      </c>
      <c r="K123" s="124">
        <f t="shared" si="4"/>
        <v>320000</v>
      </c>
      <c r="L123" s="124">
        <f t="shared" si="5"/>
        <v>0.04</v>
      </c>
      <c r="M123" s="124">
        <f>IFERROR(INDEX(tReal27[[Ene]:[Dic]],MATCH(C123,tReal27[Cuenta],0),2),0)</f>
        <v>8283000</v>
      </c>
    </row>
    <row r="124" spans="1:13" x14ac:dyDescent="0.4">
      <c r="A124" s="124" t="str">
        <f>'PPTO 2027'!$E$31</f>
        <v>Administración</v>
      </c>
      <c r="B124" s="124" t="str">
        <f>'PPTO 2027'!$C$31</f>
        <v>Gastos de administración</v>
      </c>
      <c r="C124" s="124" t="str">
        <f>'PPTO 2027'!$B$31</f>
        <v>Tecnología y software</v>
      </c>
      <c r="D124" s="124" t="str">
        <f>'PPTO 2027'!$D$31</f>
        <v>Gasto</v>
      </c>
      <c r="E124" s="124" t="str">
        <f>'PPTO 2027'!$F$31</f>
        <v>IPC</v>
      </c>
      <c r="F124" s="124" t="str">
        <f>CHOOSE(3,"Ene","Feb","Mar","Abr","May","Jun","Jul","Ago","Sep","Oct","Nov","Dic")</f>
        <v>Mar</v>
      </c>
      <c r="G124" s="124">
        <v>3</v>
      </c>
      <c r="H124" s="124">
        <f>'PPTO 2027'!$K$31</f>
        <v>8000000</v>
      </c>
      <c r="I124" s="124">
        <f>'PPTO 2027'!$X$31</f>
        <v>8320000</v>
      </c>
      <c r="J124" s="124">
        <f t="shared" si="3"/>
        <v>320000</v>
      </c>
      <c r="K124" s="124">
        <f t="shared" si="4"/>
        <v>320000</v>
      </c>
      <c r="L124" s="124">
        <f t="shared" si="5"/>
        <v>0.04</v>
      </c>
      <c r="M124" s="124">
        <f>IFERROR(INDEX(tReal27[[Ene]:[Dic]],MATCH(C124,tReal27[Cuenta],0),3),0)</f>
        <v>8318000</v>
      </c>
    </row>
    <row r="125" spans="1:13" x14ac:dyDescent="0.4">
      <c r="A125" s="124" t="str">
        <f>'PPTO 2027'!$E$31</f>
        <v>Administración</v>
      </c>
      <c r="B125" s="124" t="str">
        <f>'PPTO 2027'!$C$31</f>
        <v>Gastos de administración</v>
      </c>
      <c r="C125" s="124" t="str">
        <f>'PPTO 2027'!$B$31</f>
        <v>Tecnología y software</v>
      </c>
      <c r="D125" s="124" t="str">
        <f>'PPTO 2027'!$D$31</f>
        <v>Gasto</v>
      </c>
      <c r="E125" s="124" t="str">
        <f>'PPTO 2027'!$F$31</f>
        <v>IPC</v>
      </c>
      <c r="F125" s="124" t="str">
        <f>CHOOSE(4,"Ene","Feb","Mar","Abr","May","Jun","Jul","Ago","Sep","Oct","Nov","Dic")</f>
        <v>Abr</v>
      </c>
      <c r="G125" s="124">
        <v>4</v>
      </c>
      <c r="H125" s="124">
        <f>'PPTO 2027'!$L$31</f>
        <v>8000000</v>
      </c>
      <c r="I125" s="124">
        <f>'PPTO 2027'!$Y$31</f>
        <v>8320000</v>
      </c>
      <c r="J125" s="124">
        <f t="shared" si="3"/>
        <v>320000</v>
      </c>
      <c r="K125" s="124">
        <f t="shared" si="4"/>
        <v>320000</v>
      </c>
      <c r="L125" s="124">
        <f t="shared" si="5"/>
        <v>0.04</v>
      </c>
      <c r="M125" s="124">
        <f>IFERROR(INDEX(tReal27[[Ene]:[Dic]],MATCH(C125,tReal27[Cuenta],0),4),0)</f>
        <v>8399000</v>
      </c>
    </row>
    <row r="126" spans="1:13" x14ac:dyDescent="0.4">
      <c r="A126" s="124" t="str">
        <f>'PPTO 2027'!$E$31</f>
        <v>Administración</v>
      </c>
      <c r="B126" s="124" t="str">
        <f>'PPTO 2027'!$C$31</f>
        <v>Gastos de administración</v>
      </c>
      <c r="C126" s="124" t="str">
        <f>'PPTO 2027'!$B$31</f>
        <v>Tecnología y software</v>
      </c>
      <c r="D126" s="124" t="str">
        <f>'PPTO 2027'!$D$31</f>
        <v>Gasto</v>
      </c>
      <c r="E126" s="124" t="str">
        <f>'PPTO 2027'!$F$31</f>
        <v>IPC</v>
      </c>
      <c r="F126" s="124" t="str">
        <f>CHOOSE(5,"Ene","Feb","Mar","Abr","May","Jun","Jul","Ago","Sep","Oct","Nov","Dic")</f>
        <v>May</v>
      </c>
      <c r="G126" s="124">
        <v>5</v>
      </c>
      <c r="H126" s="124">
        <f>'PPTO 2027'!$M$31</f>
        <v>8000000</v>
      </c>
      <c r="I126" s="124">
        <f>'PPTO 2027'!$Z$31</f>
        <v>8320000</v>
      </c>
      <c r="J126" s="124">
        <f t="shared" si="3"/>
        <v>320000</v>
      </c>
      <c r="K126" s="124">
        <f t="shared" si="4"/>
        <v>320000</v>
      </c>
      <c r="L126" s="124">
        <f t="shared" si="5"/>
        <v>0.04</v>
      </c>
      <c r="M126" s="124">
        <f>IFERROR(INDEX(tReal27[[Ene]:[Dic]],MATCH(C126,tReal27[Cuenta],0),5),0)</f>
        <v>8124000</v>
      </c>
    </row>
    <row r="127" spans="1:13" x14ac:dyDescent="0.4">
      <c r="A127" s="124" t="str">
        <f>'PPTO 2027'!$E$31</f>
        <v>Administración</v>
      </c>
      <c r="B127" s="124" t="str">
        <f>'PPTO 2027'!$C$31</f>
        <v>Gastos de administración</v>
      </c>
      <c r="C127" s="124" t="str">
        <f>'PPTO 2027'!$B$31</f>
        <v>Tecnología y software</v>
      </c>
      <c r="D127" s="124" t="str">
        <f>'PPTO 2027'!$D$31</f>
        <v>Gasto</v>
      </c>
      <c r="E127" s="124" t="str">
        <f>'PPTO 2027'!$F$31</f>
        <v>IPC</v>
      </c>
      <c r="F127" s="124" t="str">
        <f>CHOOSE(6,"Ene","Feb","Mar","Abr","May","Jun","Jul","Ago","Sep","Oct","Nov","Dic")</f>
        <v>Jun</v>
      </c>
      <c r="G127" s="124">
        <v>6</v>
      </c>
      <c r="H127" s="124">
        <f>'PPTO 2027'!$N$31</f>
        <v>8000000</v>
      </c>
      <c r="I127" s="124">
        <f>'PPTO 2027'!$AA$31</f>
        <v>8320000</v>
      </c>
      <c r="J127" s="124">
        <f t="shared" si="3"/>
        <v>320000</v>
      </c>
      <c r="K127" s="124">
        <f t="shared" si="4"/>
        <v>320000</v>
      </c>
      <c r="L127" s="124">
        <f t="shared" si="5"/>
        <v>0.04</v>
      </c>
      <c r="M127" s="124">
        <f>IFERROR(INDEX(tReal27[[Ene]:[Dic]],MATCH(C127,tReal27[Cuenta],0),6),0)</f>
        <v>8347000</v>
      </c>
    </row>
    <row r="128" spans="1:13" x14ac:dyDescent="0.4">
      <c r="A128" s="124" t="str">
        <f>'PPTO 2027'!$E$31</f>
        <v>Administración</v>
      </c>
      <c r="B128" s="124" t="str">
        <f>'PPTO 2027'!$C$31</f>
        <v>Gastos de administración</v>
      </c>
      <c r="C128" s="124" t="str">
        <f>'PPTO 2027'!$B$31</f>
        <v>Tecnología y software</v>
      </c>
      <c r="D128" s="124" t="str">
        <f>'PPTO 2027'!$D$31</f>
        <v>Gasto</v>
      </c>
      <c r="E128" s="124" t="str">
        <f>'PPTO 2027'!$F$31</f>
        <v>IPC</v>
      </c>
      <c r="F128" s="124" t="str">
        <f>CHOOSE(7,"Ene","Feb","Mar","Abr","May","Jun","Jul","Ago","Sep","Oct","Nov","Dic")</f>
        <v>Jul</v>
      </c>
      <c r="G128" s="124">
        <v>7</v>
      </c>
      <c r="H128" s="124">
        <f>'PPTO 2027'!$O$31</f>
        <v>8000000</v>
      </c>
      <c r="I128" s="124">
        <f>'PPTO 2027'!$AB$31</f>
        <v>8320000</v>
      </c>
      <c r="J128" s="124">
        <f t="shared" si="3"/>
        <v>320000</v>
      </c>
      <c r="K128" s="124">
        <f t="shared" si="4"/>
        <v>320000</v>
      </c>
      <c r="L128" s="124">
        <f t="shared" si="5"/>
        <v>0.04</v>
      </c>
      <c r="M128" s="124">
        <f>IFERROR(INDEX(tReal27[[Ene]:[Dic]],MATCH(C128,tReal27[Cuenta],0),7),0)</f>
        <v>8376000</v>
      </c>
    </row>
    <row r="129" spans="1:13" x14ac:dyDescent="0.4">
      <c r="A129" s="124" t="str">
        <f>'PPTO 2027'!$E$31</f>
        <v>Administración</v>
      </c>
      <c r="B129" s="124" t="str">
        <f>'PPTO 2027'!$C$31</f>
        <v>Gastos de administración</v>
      </c>
      <c r="C129" s="124" t="str">
        <f>'PPTO 2027'!$B$31</f>
        <v>Tecnología y software</v>
      </c>
      <c r="D129" s="124" t="str">
        <f>'PPTO 2027'!$D$31</f>
        <v>Gasto</v>
      </c>
      <c r="E129" s="124" t="str">
        <f>'PPTO 2027'!$F$31</f>
        <v>IPC</v>
      </c>
      <c r="F129" s="124" t="str">
        <f>CHOOSE(8,"Ene","Feb","Mar","Abr","May","Jun","Jul","Ago","Sep","Oct","Nov","Dic")</f>
        <v>Ago</v>
      </c>
      <c r="G129" s="124">
        <v>8</v>
      </c>
      <c r="H129" s="124">
        <f>'PPTO 2027'!$P$31</f>
        <v>8000000</v>
      </c>
      <c r="I129" s="124">
        <f>'PPTO 2027'!$AC$31</f>
        <v>8320000</v>
      </c>
      <c r="J129" s="124">
        <f t="shared" si="3"/>
        <v>320000</v>
      </c>
      <c r="K129" s="124">
        <f t="shared" si="4"/>
        <v>320000</v>
      </c>
      <c r="L129" s="124">
        <f t="shared" si="5"/>
        <v>0.04</v>
      </c>
      <c r="M129" s="124">
        <f>IFERROR(INDEX(tReal27[[Ene]:[Dic]],MATCH(C129,tReal27[Cuenta],0),8),0)</f>
        <v>8490000</v>
      </c>
    </row>
    <row r="130" spans="1:13" x14ac:dyDescent="0.4">
      <c r="A130" s="124" t="str">
        <f>'PPTO 2027'!$E$31</f>
        <v>Administración</v>
      </c>
      <c r="B130" s="124" t="str">
        <f>'PPTO 2027'!$C$31</f>
        <v>Gastos de administración</v>
      </c>
      <c r="C130" s="124" t="str">
        <f>'PPTO 2027'!$B$31</f>
        <v>Tecnología y software</v>
      </c>
      <c r="D130" s="124" t="str">
        <f>'PPTO 2027'!$D$31</f>
        <v>Gasto</v>
      </c>
      <c r="E130" s="124" t="str">
        <f>'PPTO 2027'!$F$31</f>
        <v>IPC</v>
      </c>
      <c r="F130" s="124" t="str">
        <f>CHOOSE(9,"Ene","Feb","Mar","Abr","May","Jun","Jul","Ago","Sep","Oct","Nov","Dic")</f>
        <v>Sep</v>
      </c>
      <c r="G130" s="124">
        <v>9</v>
      </c>
      <c r="H130" s="124">
        <f>'PPTO 2027'!$Q$31</f>
        <v>8000000</v>
      </c>
      <c r="I130" s="124">
        <f>'PPTO 2027'!$AD$31</f>
        <v>8320000</v>
      </c>
      <c r="J130" s="124">
        <f t="shared" ref="J130:J193" si="6">I130-H130</f>
        <v>320000</v>
      </c>
      <c r="K130" s="124">
        <f t="shared" ref="K130:K193" si="7">ABS(J130)</f>
        <v>320000</v>
      </c>
      <c r="L130" s="124">
        <f t="shared" ref="L130:L193" si="8">IF(H130=0,"",J130/H130)</f>
        <v>0.04</v>
      </c>
      <c r="M130" s="124">
        <f>IFERROR(INDEX(tReal27[[Ene]:[Dic]],MATCH(C130,tReal27[Cuenta],0),9),0)</f>
        <v>8308000</v>
      </c>
    </row>
    <row r="131" spans="1:13" x14ac:dyDescent="0.4">
      <c r="A131" s="124" t="str">
        <f>'PPTO 2027'!$E$31</f>
        <v>Administración</v>
      </c>
      <c r="B131" s="124" t="str">
        <f>'PPTO 2027'!$C$31</f>
        <v>Gastos de administración</v>
      </c>
      <c r="C131" s="124" t="str">
        <f>'PPTO 2027'!$B$31</f>
        <v>Tecnología y software</v>
      </c>
      <c r="D131" s="124" t="str">
        <f>'PPTO 2027'!$D$31</f>
        <v>Gasto</v>
      </c>
      <c r="E131" s="124" t="str">
        <f>'PPTO 2027'!$F$31</f>
        <v>IPC</v>
      </c>
      <c r="F131" s="124" t="str">
        <f>CHOOSE(10,"Ene","Feb","Mar","Abr","May","Jun","Jul","Ago","Sep","Oct","Nov","Dic")</f>
        <v>Oct</v>
      </c>
      <c r="G131" s="124">
        <v>10</v>
      </c>
      <c r="H131" s="124">
        <f>'PPTO 2027'!$R$31</f>
        <v>8000000</v>
      </c>
      <c r="I131" s="124">
        <f>'PPTO 2027'!$AE$31</f>
        <v>8320000</v>
      </c>
      <c r="J131" s="124">
        <f t="shared" si="6"/>
        <v>320000</v>
      </c>
      <c r="K131" s="124">
        <f t="shared" si="7"/>
        <v>320000</v>
      </c>
      <c r="L131" s="124">
        <f t="shared" si="8"/>
        <v>0.04</v>
      </c>
      <c r="M131" s="124">
        <f>IFERROR(INDEX(tReal27[[Ene]:[Dic]],MATCH(C131,tReal27[Cuenta],0),10),0)</f>
        <v>8080000</v>
      </c>
    </row>
    <row r="132" spans="1:13" x14ac:dyDescent="0.4">
      <c r="A132" s="124" t="str">
        <f>'PPTO 2027'!$E$31</f>
        <v>Administración</v>
      </c>
      <c r="B132" s="124" t="str">
        <f>'PPTO 2027'!$C$31</f>
        <v>Gastos de administración</v>
      </c>
      <c r="C132" s="124" t="str">
        <f>'PPTO 2027'!$B$31</f>
        <v>Tecnología y software</v>
      </c>
      <c r="D132" s="124" t="str">
        <f>'PPTO 2027'!$D$31</f>
        <v>Gasto</v>
      </c>
      <c r="E132" s="124" t="str">
        <f>'PPTO 2027'!$F$31</f>
        <v>IPC</v>
      </c>
      <c r="F132" s="124" t="str">
        <f>CHOOSE(11,"Ene","Feb","Mar","Abr","May","Jun","Jul","Ago","Sep","Oct","Nov","Dic")</f>
        <v>Nov</v>
      </c>
      <c r="G132" s="124">
        <v>11</v>
      </c>
      <c r="H132" s="124">
        <f>'PPTO 2027'!$S$31</f>
        <v>8000000</v>
      </c>
      <c r="I132" s="124">
        <f>'PPTO 2027'!$AF$31</f>
        <v>8320000</v>
      </c>
      <c r="J132" s="124">
        <f t="shared" si="6"/>
        <v>320000</v>
      </c>
      <c r="K132" s="124">
        <f t="shared" si="7"/>
        <v>320000</v>
      </c>
      <c r="L132" s="124">
        <f t="shared" si="8"/>
        <v>0.04</v>
      </c>
      <c r="M132" s="124">
        <f>IFERROR(INDEX(tReal27[[Ene]:[Dic]],MATCH(C132,tReal27[Cuenta],0),11),0)</f>
        <v>8347000</v>
      </c>
    </row>
    <row r="133" spans="1:13" x14ac:dyDescent="0.4">
      <c r="A133" s="124" t="str">
        <f>'PPTO 2027'!$E$31</f>
        <v>Administración</v>
      </c>
      <c r="B133" s="124" t="str">
        <f>'PPTO 2027'!$C$31</f>
        <v>Gastos de administración</v>
      </c>
      <c r="C133" s="124" t="str">
        <f>'PPTO 2027'!$B$31</f>
        <v>Tecnología y software</v>
      </c>
      <c r="D133" s="124" t="str">
        <f>'PPTO 2027'!$D$31</f>
        <v>Gasto</v>
      </c>
      <c r="E133" s="124" t="str">
        <f>'PPTO 2027'!$F$31</f>
        <v>IPC</v>
      </c>
      <c r="F133" s="124" t="str">
        <f>CHOOSE(12,"Ene","Feb","Mar","Abr","May","Jun","Jul","Ago","Sep","Oct","Nov","Dic")</f>
        <v>Dic</v>
      </c>
      <c r="G133" s="124">
        <v>12</v>
      </c>
      <c r="H133" s="124">
        <f>'PPTO 2027'!$T$31</f>
        <v>8000000</v>
      </c>
      <c r="I133" s="124">
        <f>'PPTO 2027'!$AG$31</f>
        <v>8320000</v>
      </c>
      <c r="J133" s="124">
        <f t="shared" si="6"/>
        <v>320000</v>
      </c>
      <c r="K133" s="124">
        <f t="shared" si="7"/>
        <v>320000</v>
      </c>
      <c r="L133" s="124">
        <f t="shared" si="8"/>
        <v>0.04</v>
      </c>
      <c r="M133" s="124">
        <f>IFERROR(INDEX(tReal27[[Ene]:[Dic]],MATCH(C133,tReal27[Cuenta],0),12),0)</f>
        <v>8123000</v>
      </c>
    </row>
    <row r="134" spans="1:13" x14ac:dyDescent="0.4">
      <c r="A134" s="124" t="str">
        <f>'PPTO 2027'!$E$32</f>
        <v>Administración</v>
      </c>
      <c r="B134" s="124" t="str">
        <f>'PPTO 2027'!$C$32</f>
        <v>Gastos de administración</v>
      </c>
      <c r="C134" s="124" t="str">
        <f>'PPTO 2027'!$B$32</f>
        <v>Depreciación y amortización</v>
      </c>
      <c r="D134" s="124" t="str">
        <f>'PPTO 2027'!$D$32</f>
        <v>Gasto</v>
      </c>
      <c r="E134" s="124" t="str">
        <f>'PPTO 2027'!$F$32</f>
        <v>Fijo</v>
      </c>
      <c r="F134" s="124" t="str">
        <f>CHOOSE(1,"Ene","Feb","Mar","Abr","May","Jun","Jul","Ago","Sep","Oct","Nov","Dic")</f>
        <v>Ene</v>
      </c>
      <c r="G134" s="124">
        <v>1</v>
      </c>
      <c r="H134" s="124">
        <f>'PPTO 2027'!$I$32</f>
        <v>15000000</v>
      </c>
      <c r="I134" s="124">
        <f>'PPTO 2027'!$V$32</f>
        <v>15000000</v>
      </c>
      <c r="J134" s="124">
        <f t="shared" si="6"/>
        <v>0</v>
      </c>
      <c r="K134" s="124">
        <f t="shared" si="7"/>
        <v>0</v>
      </c>
      <c r="L134" s="124">
        <f t="shared" si="8"/>
        <v>0</v>
      </c>
      <c r="M134" s="124">
        <f>IFERROR(INDEX(tReal27[[Ene]:[Dic]],MATCH(C134,tReal27[Cuenta],0),1),0)</f>
        <v>14943000</v>
      </c>
    </row>
    <row r="135" spans="1:13" x14ac:dyDescent="0.4">
      <c r="A135" s="124" t="str">
        <f>'PPTO 2027'!$E$32</f>
        <v>Administración</v>
      </c>
      <c r="B135" s="124" t="str">
        <f>'PPTO 2027'!$C$32</f>
        <v>Gastos de administración</v>
      </c>
      <c r="C135" s="124" t="str">
        <f>'PPTO 2027'!$B$32</f>
        <v>Depreciación y amortización</v>
      </c>
      <c r="D135" s="124" t="str">
        <f>'PPTO 2027'!$D$32</f>
        <v>Gasto</v>
      </c>
      <c r="E135" s="124" t="str">
        <f>'PPTO 2027'!$F$32</f>
        <v>Fijo</v>
      </c>
      <c r="F135" s="124" t="str">
        <f>CHOOSE(2,"Ene","Feb","Mar","Abr","May","Jun","Jul","Ago","Sep","Oct","Nov","Dic")</f>
        <v>Feb</v>
      </c>
      <c r="G135" s="124">
        <v>2</v>
      </c>
      <c r="H135" s="124">
        <f>'PPTO 2027'!$J$32</f>
        <v>15000000</v>
      </c>
      <c r="I135" s="124">
        <f>'PPTO 2027'!$W$32</f>
        <v>15000000</v>
      </c>
      <c r="J135" s="124">
        <f t="shared" si="6"/>
        <v>0</v>
      </c>
      <c r="K135" s="124">
        <f t="shared" si="7"/>
        <v>0</v>
      </c>
      <c r="L135" s="124">
        <f t="shared" si="8"/>
        <v>0</v>
      </c>
      <c r="M135" s="124">
        <f>IFERROR(INDEX(tReal27[[Ene]:[Dic]],MATCH(C135,tReal27[Cuenta],0),2),0)</f>
        <v>15063000</v>
      </c>
    </row>
    <row r="136" spans="1:13" x14ac:dyDescent="0.4">
      <c r="A136" s="124" t="str">
        <f>'PPTO 2027'!$E$32</f>
        <v>Administración</v>
      </c>
      <c r="B136" s="124" t="str">
        <f>'PPTO 2027'!$C$32</f>
        <v>Gastos de administración</v>
      </c>
      <c r="C136" s="124" t="str">
        <f>'PPTO 2027'!$B$32</f>
        <v>Depreciación y amortización</v>
      </c>
      <c r="D136" s="124" t="str">
        <f>'PPTO 2027'!$D$32</f>
        <v>Gasto</v>
      </c>
      <c r="E136" s="124" t="str">
        <f>'PPTO 2027'!$F$32</f>
        <v>Fijo</v>
      </c>
      <c r="F136" s="124" t="str">
        <f>CHOOSE(3,"Ene","Feb","Mar","Abr","May","Jun","Jul","Ago","Sep","Oct","Nov","Dic")</f>
        <v>Mar</v>
      </c>
      <c r="G136" s="124">
        <v>3</v>
      </c>
      <c r="H136" s="124">
        <f>'PPTO 2027'!$K$32</f>
        <v>15000000</v>
      </c>
      <c r="I136" s="124">
        <f>'PPTO 2027'!$X$32</f>
        <v>15000000</v>
      </c>
      <c r="J136" s="124">
        <f t="shared" si="6"/>
        <v>0</v>
      </c>
      <c r="K136" s="124">
        <f t="shared" si="7"/>
        <v>0</v>
      </c>
      <c r="L136" s="124">
        <f t="shared" si="8"/>
        <v>0</v>
      </c>
      <c r="M136" s="124">
        <f>IFERROR(INDEX(tReal27[[Ene]:[Dic]],MATCH(C136,tReal27[Cuenta],0),3),0)</f>
        <v>14993000</v>
      </c>
    </row>
    <row r="137" spans="1:13" x14ac:dyDescent="0.4">
      <c r="A137" s="124" t="str">
        <f>'PPTO 2027'!$E$32</f>
        <v>Administración</v>
      </c>
      <c r="B137" s="124" t="str">
        <f>'PPTO 2027'!$C$32</f>
        <v>Gastos de administración</v>
      </c>
      <c r="C137" s="124" t="str">
        <f>'PPTO 2027'!$B$32</f>
        <v>Depreciación y amortización</v>
      </c>
      <c r="D137" s="124" t="str">
        <f>'PPTO 2027'!$D$32</f>
        <v>Gasto</v>
      </c>
      <c r="E137" s="124" t="str">
        <f>'PPTO 2027'!$F$32</f>
        <v>Fijo</v>
      </c>
      <c r="F137" s="124" t="str">
        <f>CHOOSE(4,"Ene","Feb","Mar","Abr","May","Jun","Jul","Ago","Sep","Oct","Nov","Dic")</f>
        <v>Abr</v>
      </c>
      <c r="G137" s="124">
        <v>4</v>
      </c>
      <c r="H137" s="124">
        <f>'PPTO 2027'!$L$32</f>
        <v>15000000</v>
      </c>
      <c r="I137" s="124">
        <f>'PPTO 2027'!$Y$32</f>
        <v>15000000</v>
      </c>
      <c r="J137" s="124">
        <f t="shared" si="6"/>
        <v>0</v>
      </c>
      <c r="K137" s="124">
        <f t="shared" si="7"/>
        <v>0</v>
      </c>
      <c r="L137" s="124">
        <f t="shared" si="8"/>
        <v>0</v>
      </c>
      <c r="M137" s="124">
        <f>IFERROR(INDEX(tReal27[[Ene]:[Dic]],MATCH(C137,tReal27[Cuenta],0),4),0)</f>
        <v>15249000</v>
      </c>
    </row>
    <row r="138" spans="1:13" x14ac:dyDescent="0.4">
      <c r="A138" s="124" t="str">
        <f>'PPTO 2027'!$E$32</f>
        <v>Administración</v>
      </c>
      <c r="B138" s="124" t="str">
        <f>'PPTO 2027'!$C$32</f>
        <v>Gastos de administración</v>
      </c>
      <c r="C138" s="124" t="str">
        <f>'PPTO 2027'!$B$32</f>
        <v>Depreciación y amortización</v>
      </c>
      <c r="D138" s="124" t="str">
        <f>'PPTO 2027'!$D$32</f>
        <v>Gasto</v>
      </c>
      <c r="E138" s="124" t="str">
        <f>'PPTO 2027'!$F$32</f>
        <v>Fijo</v>
      </c>
      <c r="F138" s="124" t="str">
        <f>CHOOSE(5,"Ene","Feb","Mar","Abr","May","Jun","Jul","Ago","Sep","Oct","Nov","Dic")</f>
        <v>May</v>
      </c>
      <c r="G138" s="124">
        <v>5</v>
      </c>
      <c r="H138" s="124">
        <f>'PPTO 2027'!$M$32</f>
        <v>15000000</v>
      </c>
      <c r="I138" s="124">
        <f>'PPTO 2027'!$Z$32</f>
        <v>15000000</v>
      </c>
      <c r="J138" s="124">
        <f t="shared" si="6"/>
        <v>0</v>
      </c>
      <c r="K138" s="124">
        <f t="shared" si="7"/>
        <v>0</v>
      </c>
      <c r="L138" s="124">
        <f t="shared" si="8"/>
        <v>0</v>
      </c>
      <c r="M138" s="124">
        <f>IFERROR(INDEX(tReal27[[Ene]:[Dic]],MATCH(C138,tReal27[Cuenta],0),5),0)</f>
        <v>14810000</v>
      </c>
    </row>
    <row r="139" spans="1:13" x14ac:dyDescent="0.4">
      <c r="A139" s="124" t="str">
        <f>'PPTO 2027'!$E$32</f>
        <v>Administración</v>
      </c>
      <c r="B139" s="124" t="str">
        <f>'PPTO 2027'!$C$32</f>
        <v>Gastos de administración</v>
      </c>
      <c r="C139" s="124" t="str">
        <f>'PPTO 2027'!$B$32</f>
        <v>Depreciación y amortización</v>
      </c>
      <c r="D139" s="124" t="str">
        <f>'PPTO 2027'!$D$32</f>
        <v>Gasto</v>
      </c>
      <c r="E139" s="124" t="str">
        <f>'PPTO 2027'!$F$32</f>
        <v>Fijo</v>
      </c>
      <c r="F139" s="124" t="str">
        <f>CHOOSE(6,"Ene","Feb","Mar","Abr","May","Jun","Jul","Ago","Sep","Oct","Nov","Dic")</f>
        <v>Jun</v>
      </c>
      <c r="G139" s="124">
        <v>6</v>
      </c>
      <c r="H139" s="124">
        <f>'PPTO 2027'!$N$32</f>
        <v>15000000</v>
      </c>
      <c r="I139" s="124">
        <f>'PPTO 2027'!$AA$32</f>
        <v>15000000</v>
      </c>
      <c r="J139" s="124">
        <f t="shared" si="6"/>
        <v>0</v>
      </c>
      <c r="K139" s="124">
        <f t="shared" si="7"/>
        <v>0</v>
      </c>
      <c r="L139" s="124">
        <f t="shared" si="8"/>
        <v>0</v>
      </c>
      <c r="M139" s="124">
        <f>IFERROR(INDEX(tReal27[[Ene]:[Dic]],MATCH(C139,tReal27[Cuenta],0),6),0)</f>
        <v>15069000</v>
      </c>
    </row>
    <row r="140" spans="1:13" x14ac:dyDescent="0.4">
      <c r="A140" s="124" t="str">
        <f>'PPTO 2027'!$E$32</f>
        <v>Administración</v>
      </c>
      <c r="B140" s="124" t="str">
        <f>'PPTO 2027'!$C$32</f>
        <v>Gastos de administración</v>
      </c>
      <c r="C140" s="124" t="str">
        <f>'PPTO 2027'!$B$32</f>
        <v>Depreciación y amortización</v>
      </c>
      <c r="D140" s="124" t="str">
        <f>'PPTO 2027'!$D$32</f>
        <v>Gasto</v>
      </c>
      <c r="E140" s="124" t="str">
        <f>'PPTO 2027'!$F$32</f>
        <v>Fijo</v>
      </c>
      <c r="F140" s="124" t="str">
        <f>CHOOSE(7,"Ene","Feb","Mar","Abr","May","Jun","Jul","Ago","Sep","Oct","Nov","Dic")</f>
        <v>Jul</v>
      </c>
      <c r="G140" s="124">
        <v>7</v>
      </c>
      <c r="H140" s="124">
        <f>'PPTO 2027'!$O$32</f>
        <v>15000000</v>
      </c>
      <c r="I140" s="124">
        <f>'PPTO 2027'!$AB$32</f>
        <v>15000000</v>
      </c>
      <c r="J140" s="124">
        <f t="shared" si="6"/>
        <v>0</v>
      </c>
      <c r="K140" s="124">
        <f t="shared" si="7"/>
        <v>0</v>
      </c>
      <c r="L140" s="124">
        <f t="shared" si="8"/>
        <v>0</v>
      </c>
      <c r="M140" s="124">
        <f>IFERROR(INDEX(tReal27[[Ene]:[Dic]],MATCH(C140,tReal27[Cuenta],0),7),0)</f>
        <v>14971000</v>
      </c>
    </row>
    <row r="141" spans="1:13" x14ac:dyDescent="0.4">
      <c r="A141" s="124" t="str">
        <f>'PPTO 2027'!$E$32</f>
        <v>Administración</v>
      </c>
      <c r="B141" s="124" t="str">
        <f>'PPTO 2027'!$C$32</f>
        <v>Gastos de administración</v>
      </c>
      <c r="C141" s="124" t="str">
        <f>'PPTO 2027'!$B$32</f>
        <v>Depreciación y amortización</v>
      </c>
      <c r="D141" s="124" t="str">
        <f>'PPTO 2027'!$D$32</f>
        <v>Gasto</v>
      </c>
      <c r="E141" s="124" t="str">
        <f>'PPTO 2027'!$F$32</f>
        <v>Fijo</v>
      </c>
      <c r="F141" s="124" t="str">
        <f>CHOOSE(8,"Ene","Feb","Mar","Abr","May","Jun","Jul","Ago","Sep","Oct","Nov","Dic")</f>
        <v>Ago</v>
      </c>
      <c r="G141" s="124">
        <v>8</v>
      </c>
      <c r="H141" s="124">
        <f>'PPTO 2027'!$P$32</f>
        <v>15000000</v>
      </c>
      <c r="I141" s="124">
        <f>'PPTO 2027'!$AC$32</f>
        <v>15000000</v>
      </c>
      <c r="J141" s="124">
        <f t="shared" si="6"/>
        <v>0</v>
      </c>
      <c r="K141" s="124">
        <f t="shared" si="7"/>
        <v>0</v>
      </c>
      <c r="L141" s="124">
        <f t="shared" si="8"/>
        <v>0</v>
      </c>
      <c r="M141" s="124">
        <f>IFERROR(INDEX(tReal27[[Ene]:[Dic]],MATCH(C141,tReal27[Cuenta],0),8),0)</f>
        <v>14771000</v>
      </c>
    </row>
    <row r="142" spans="1:13" x14ac:dyDescent="0.4">
      <c r="A142" s="124" t="str">
        <f>'PPTO 2027'!$E$32</f>
        <v>Administración</v>
      </c>
      <c r="B142" s="124" t="str">
        <f>'PPTO 2027'!$C$32</f>
        <v>Gastos de administración</v>
      </c>
      <c r="C142" s="124" t="str">
        <f>'PPTO 2027'!$B$32</f>
        <v>Depreciación y amortización</v>
      </c>
      <c r="D142" s="124" t="str">
        <f>'PPTO 2027'!$D$32</f>
        <v>Gasto</v>
      </c>
      <c r="E142" s="124" t="str">
        <f>'PPTO 2027'!$F$32</f>
        <v>Fijo</v>
      </c>
      <c r="F142" s="124" t="str">
        <f>CHOOSE(9,"Ene","Feb","Mar","Abr","May","Jun","Jul","Ago","Sep","Oct","Nov","Dic")</f>
        <v>Sep</v>
      </c>
      <c r="G142" s="124">
        <v>9</v>
      </c>
      <c r="H142" s="124">
        <f>'PPTO 2027'!$Q$32</f>
        <v>15000000</v>
      </c>
      <c r="I142" s="124">
        <f>'PPTO 2027'!$AD$32</f>
        <v>15000000</v>
      </c>
      <c r="J142" s="124">
        <f t="shared" si="6"/>
        <v>0</v>
      </c>
      <c r="K142" s="124">
        <f t="shared" si="7"/>
        <v>0</v>
      </c>
      <c r="L142" s="124">
        <f t="shared" si="8"/>
        <v>0</v>
      </c>
      <c r="M142" s="124">
        <f>IFERROR(INDEX(tReal27[[Ene]:[Dic]],MATCH(C142,tReal27[Cuenta],0),9),0)</f>
        <v>14445000</v>
      </c>
    </row>
    <row r="143" spans="1:13" x14ac:dyDescent="0.4">
      <c r="A143" s="124" t="str">
        <f>'PPTO 2027'!$E$32</f>
        <v>Administración</v>
      </c>
      <c r="B143" s="124" t="str">
        <f>'PPTO 2027'!$C$32</f>
        <v>Gastos de administración</v>
      </c>
      <c r="C143" s="124" t="str">
        <f>'PPTO 2027'!$B$32</f>
        <v>Depreciación y amortización</v>
      </c>
      <c r="D143" s="124" t="str">
        <f>'PPTO 2027'!$D$32</f>
        <v>Gasto</v>
      </c>
      <c r="E143" s="124" t="str">
        <f>'PPTO 2027'!$F$32</f>
        <v>Fijo</v>
      </c>
      <c r="F143" s="124" t="str">
        <f>CHOOSE(10,"Ene","Feb","Mar","Abr","May","Jun","Jul","Ago","Sep","Oct","Nov","Dic")</f>
        <v>Oct</v>
      </c>
      <c r="G143" s="124">
        <v>10</v>
      </c>
      <c r="H143" s="124">
        <f>'PPTO 2027'!$R$32</f>
        <v>15000000</v>
      </c>
      <c r="I143" s="124">
        <f>'PPTO 2027'!$AE$32</f>
        <v>15000000</v>
      </c>
      <c r="J143" s="124">
        <f t="shared" si="6"/>
        <v>0</v>
      </c>
      <c r="K143" s="124">
        <f t="shared" si="7"/>
        <v>0</v>
      </c>
      <c r="L143" s="124">
        <f t="shared" si="8"/>
        <v>0</v>
      </c>
      <c r="M143" s="124">
        <f>IFERROR(INDEX(tReal27[[Ene]:[Dic]],MATCH(C143,tReal27[Cuenta],0),10),0)</f>
        <v>14996000</v>
      </c>
    </row>
    <row r="144" spans="1:13" x14ac:dyDescent="0.4">
      <c r="A144" s="124" t="str">
        <f>'PPTO 2027'!$E$32</f>
        <v>Administración</v>
      </c>
      <c r="B144" s="124" t="str">
        <f>'PPTO 2027'!$C$32</f>
        <v>Gastos de administración</v>
      </c>
      <c r="C144" s="124" t="str">
        <f>'PPTO 2027'!$B$32</f>
        <v>Depreciación y amortización</v>
      </c>
      <c r="D144" s="124" t="str">
        <f>'PPTO 2027'!$D$32</f>
        <v>Gasto</v>
      </c>
      <c r="E144" s="124" t="str">
        <f>'PPTO 2027'!$F$32</f>
        <v>Fijo</v>
      </c>
      <c r="F144" s="124" t="str">
        <f>CHOOSE(11,"Ene","Feb","Mar","Abr","May","Jun","Jul","Ago","Sep","Oct","Nov","Dic")</f>
        <v>Nov</v>
      </c>
      <c r="G144" s="124">
        <v>11</v>
      </c>
      <c r="H144" s="124">
        <f>'PPTO 2027'!$S$32</f>
        <v>15000000</v>
      </c>
      <c r="I144" s="124">
        <f>'PPTO 2027'!$AF$32</f>
        <v>15000000</v>
      </c>
      <c r="J144" s="124">
        <f t="shared" si="6"/>
        <v>0</v>
      </c>
      <c r="K144" s="124">
        <f t="shared" si="7"/>
        <v>0</v>
      </c>
      <c r="L144" s="124">
        <f t="shared" si="8"/>
        <v>0</v>
      </c>
      <c r="M144" s="124">
        <f>IFERROR(INDEX(tReal27[[Ene]:[Dic]],MATCH(C144,tReal27[Cuenta],0),11),0)</f>
        <v>14777000</v>
      </c>
    </row>
    <row r="145" spans="1:13" x14ac:dyDescent="0.4">
      <c r="A145" s="124" t="str">
        <f>'PPTO 2027'!$E$32</f>
        <v>Administración</v>
      </c>
      <c r="B145" s="124" t="str">
        <f>'PPTO 2027'!$C$32</f>
        <v>Gastos de administración</v>
      </c>
      <c r="C145" s="124" t="str">
        <f>'PPTO 2027'!$B$32</f>
        <v>Depreciación y amortización</v>
      </c>
      <c r="D145" s="124" t="str">
        <f>'PPTO 2027'!$D$32</f>
        <v>Gasto</v>
      </c>
      <c r="E145" s="124" t="str">
        <f>'PPTO 2027'!$F$32</f>
        <v>Fijo</v>
      </c>
      <c r="F145" s="124" t="str">
        <f>CHOOSE(12,"Ene","Feb","Mar","Abr","May","Jun","Jul","Ago","Sep","Oct","Nov","Dic")</f>
        <v>Dic</v>
      </c>
      <c r="G145" s="124">
        <v>12</v>
      </c>
      <c r="H145" s="124">
        <f>'PPTO 2027'!$T$32</f>
        <v>15000000</v>
      </c>
      <c r="I145" s="124">
        <f>'PPTO 2027'!$AG$32</f>
        <v>15000000</v>
      </c>
      <c r="J145" s="124">
        <f t="shared" si="6"/>
        <v>0</v>
      </c>
      <c r="K145" s="124">
        <f t="shared" si="7"/>
        <v>0</v>
      </c>
      <c r="L145" s="124">
        <f t="shared" si="8"/>
        <v>0</v>
      </c>
      <c r="M145" s="124">
        <f>IFERROR(INDEX(tReal27[[Ene]:[Dic]],MATCH(C145,tReal27[Cuenta],0),12),0)</f>
        <v>15063000</v>
      </c>
    </row>
    <row r="146" spans="1:13" x14ac:dyDescent="0.4">
      <c r="A146" s="124" t="str">
        <f>'PPTO 2027'!$E$35</f>
        <v>Comercial</v>
      </c>
      <c r="B146" s="124" t="str">
        <f>'PPTO 2027'!$C$35</f>
        <v>Gastos de ventas</v>
      </c>
      <c r="C146" s="124" t="str">
        <f>'PPTO 2027'!$B$35</f>
        <v>Nómina comercial</v>
      </c>
      <c r="D146" s="124" t="str">
        <f>'PPTO 2027'!$D$35</f>
        <v>Gasto</v>
      </c>
      <c r="E146" s="124" t="str">
        <f>'PPTO 2027'!$F$35</f>
        <v>Nómina</v>
      </c>
      <c r="F146" s="124" t="str">
        <f>CHOOSE(1,"Ene","Feb","Mar","Abr","May","Jun","Jul","Ago","Sep","Oct","Nov","Dic")</f>
        <v>Ene</v>
      </c>
      <c r="G146" s="124">
        <v>1</v>
      </c>
      <c r="H146" s="124">
        <f>'PPTO 2027'!$I$35</f>
        <v>43300000</v>
      </c>
      <c r="I146" s="124">
        <f>'PPTO 2027'!$V$35</f>
        <v>46331000</v>
      </c>
      <c r="J146" s="124">
        <f t="shared" si="6"/>
        <v>3031000</v>
      </c>
      <c r="K146" s="124">
        <f t="shared" si="7"/>
        <v>3031000</v>
      </c>
      <c r="L146" s="124">
        <f t="shared" si="8"/>
        <v>7.0000000000000007E-2</v>
      </c>
      <c r="M146" s="124">
        <f>IFERROR(INDEX(tReal27[[Ene]:[Dic]],MATCH(C146,tReal27[Cuenta],0),1),0)</f>
        <v>47396000</v>
      </c>
    </row>
    <row r="147" spans="1:13" x14ac:dyDescent="0.4">
      <c r="A147" s="124" t="str">
        <f>'PPTO 2027'!$E$35</f>
        <v>Comercial</v>
      </c>
      <c r="B147" s="124" t="str">
        <f>'PPTO 2027'!$C$35</f>
        <v>Gastos de ventas</v>
      </c>
      <c r="C147" s="124" t="str">
        <f>'PPTO 2027'!$B$35</f>
        <v>Nómina comercial</v>
      </c>
      <c r="D147" s="124" t="str">
        <f>'PPTO 2027'!$D$35</f>
        <v>Gasto</v>
      </c>
      <c r="E147" s="124" t="str">
        <f>'PPTO 2027'!$F$35</f>
        <v>Nómina</v>
      </c>
      <c r="F147" s="124" t="str">
        <f>CHOOSE(2,"Ene","Feb","Mar","Abr","May","Jun","Jul","Ago","Sep","Oct","Nov","Dic")</f>
        <v>Feb</v>
      </c>
      <c r="G147" s="124">
        <v>2</v>
      </c>
      <c r="H147" s="124">
        <f>'PPTO 2027'!$J$35</f>
        <v>43300000</v>
      </c>
      <c r="I147" s="124">
        <f>'PPTO 2027'!$W$35</f>
        <v>46331000</v>
      </c>
      <c r="J147" s="124">
        <f t="shared" si="6"/>
        <v>3031000</v>
      </c>
      <c r="K147" s="124">
        <f t="shared" si="7"/>
        <v>3031000</v>
      </c>
      <c r="L147" s="124">
        <f t="shared" si="8"/>
        <v>7.0000000000000007E-2</v>
      </c>
      <c r="M147" s="124">
        <f>IFERROR(INDEX(tReal27[[Ene]:[Dic]],MATCH(C147,tReal27[Cuenta],0),2),0)</f>
        <v>46502000</v>
      </c>
    </row>
    <row r="148" spans="1:13" x14ac:dyDescent="0.4">
      <c r="A148" s="124" t="str">
        <f>'PPTO 2027'!$E$35</f>
        <v>Comercial</v>
      </c>
      <c r="B148" s="124" t="str">
        <f>'PPTO 2027'!$C$35</f>
        <v>Gastos de ventas</v>
      </c>
      <c r="C148" s="124" t="str">
        <f>'PPTO 2027'!$B$35</f>
        <v>Nómina comercial</v>
      </c>
      <c r="D148" s="124" t="str">
        <f>'PPTO 2027'!$D$35</f>
        <v>Gasto</v>
      </c>
      <c r="E148" s="124" t="str">
        <f>'PPTO 2027'!$F$35</f>
        <v>Nómina</v>
      </c>
      <c r="F148" s="124" t="str">
        <f>CHOOSE(3,"Ene","Feb","Mar","Abr","May","Jun","Jul","Ago","Sep","Oct","Nov","Dic")</f>
        <v>Mar</v>
      </c>
      <c r="G148" s="124">
        <v>3</v>
      </c>
      <c r="H148" s="124">
        <f>'PPTO 2027'!$K$35</f>
        <v>43300000</v>
      </c>
      <c r="I148" s="124">
        <f>'PPTO 2027'!$X$35</f>
        <v>46331000</v>
      </c>
      <c r="J148" s="124">
        <f t="shared" si="6"/>
        <v>3031000</v>
      </c>
      <c r="K148" s="124">
        <f t="shared" si="7"/>
        <v>3031000</v>
      </c>
      <c r="L148" s="124">
        <f t="shared" si="8"/>
        <v>7.0000000000000007E-2</v>
      </c>
      <c r="M148" s="124">
        <f>IFERROR(INDEX(tReal27[[Ene]:[Dic]],MATCH(C148,tReal27[Cuenta],0),3),0)</f>
        <v>46270000</v>
      </c>
    </row>
    <row r="149" spans="1:13" x14ac:dyDescent="0.4">
      <c r="A149" s="124" t="str">
        <f>'PPTO 2027'!$E$35</f>
        <v>Comercial</v>
      </c>
      <c r="B149" s="124" t="str">
        <f>'PPTO 2027'!$C$35</f>
        <v>Gastos de ventas</v>
      </c>
      <c r="C149" s="124" t="str">
        <f>'PPTO 2027'!$B$35</f>
        <v>Nómina comercial</v>
      </c>
      <c r="D149" s="124" t="str">
        <f>'PPTO 2027'!$D$35</f>
        <v>Gasto</v>
      </c>
      <c r="E149" s="124" t="str">
        <f>'PPTO 2027'!$F$35</f>
        <v>Nómina</v>
      </c>
      <c r="F149" s="124" t="str">
        <f>CHOOSE(4,"Ene","Feb","Mar","Abr","May","Jun","Jul","Ago","Sep","Oct","Nov","Dic")</f>
        <v>Abr</v>
      </c>
      <c r="G149" s="124">
        <v>4</v>
      </c>
      <c r="H149" s="124">
        <f>'PPTO 2027'!$L$35</f>
        <v>43300000</v>
      </c>
      <c r="I149" s="124">
        <f>'PPTO 2027'!$Y$35</f>
        <v>46331000</v>
      </c>
      <c r="J149" s="124">
        <f t="shared" si="6"/>
        <v>3031000</v>
      </c>
      <c r="K149" s="124">
        <f t="shared" si="7"/>
        <v>3031000</v>
      </c>
      <c r="L149" s="124">
        <f t="shared" si="8"/>
        <v>7.0000000000000007E-2</v>
      </c>
      <c r="M149" s="124">
        <f>IFERROR(INDEX(tReal27[[Ene]:[Dic]],MATCH(C149,tReal27[Cuenta],0),4),0)</f>
        <v>47321000</v>
      </c>
    </row>
    <row r="150" spans="1:13" x14ac:dyDescent="0.4">
      <c r="A150" s="124" t="str">
        <f>'PPTO 2027'!$E$35</f>
        <v>Comercial</v>
      </c>
      <c r="B150" s="124" t="str">
        <f>'PPTO 2027'!$C$35</f>
        <v>Gastos de ventas</v>
      </c>
      <c r="C150" s="124" t="str">
        <f>'PPTO 2027'!$B$35</f>
        <v>Nómina comercial</v>
      </c>
      <c r="D150" s="124" t="str">
        <f>'PPTO 2027'!$D$35</f>
        <v>Gasto</v>
      </c>
      <c r="E150" s="124" t="str">
        <f>'PPTO 2027'!$F$35</f>
        <v>Nómina</v>
      </c>
      <c r="F150" s="124" t="str">
        <f>CHOOSE(5,"Ene","Feb","Mar","Abr","May","Jun","Jul","Ago","Sep","Oct","Nov","Dic")</f>
        <v>May</v>
      </c>
      <c r="G150" s="124">
        <v>5</v>
      </c>
      <c r="H150" s="124">
        <f>'PPTO 2027'!$M$35</f>
        <v>43300000</v>
      </c>
      <c r="I150" s="124">
        <f>'PPTO 2027'!$Z$35</f>
        <v>46331000</v>
      </c>
      <c r="J150" s="124">
        <f t="shared" si="6"/>
        <v>3031000</v>
      </c>
      <c r="K150" s="124">
        <f t="shared" si="7"/>
        <v>3031000</v>
      </c>
      <c r="L150" s="124">
        <f t="shared" si="8"/>
        <v>7.0000000000000007E-2</v>
      </c>
      <c r="M150" s="124">
        <f>IFERROR(INDEX(tReal27[[Ene]:[Dic]],MATCH(C150,tReal27[Cuenta],0),5),0)</f>
        <v>45991000</v>
      </c>
    </row>
    <row r="151" spans="1:13" x14ac:dyDescent="0.4">
      <c r="A151" s="124" t="str">
        <f>'PPTO 2027'!$E$35</f>
        <v>Comercial</v>
      </c>
      <c r="B151" s="124" t="str">
        <f>'PPTO 2027'!$C$35</f>
        <v>Gastos de ventas</v>
      </c>
      <c r="C151" s="124" t="str">
        <f>'PPTO 2027'!$B$35</f>
        <v>Nómina comercial</v>
      </c>
      <c r="D151" s="124" t="str">
        <f>'PPTO 2027'!$D$35</f>
        <v>Gasto</v>
      </c>
      <c r="E151" s="124" t="str">
        <f>'PPTO 2027'!$F$35</f>
        <v>Nómina</v>
      </c>
      <c r="F151" s="124" t="str">
        <f>CHOOSE(6,"Ene","Feb","Mar","Abr","May","Jun","Jul","Ago","Sep","Oct","Nov","Dic")</f>
        <v>Jun</v>
      </c>
      <c r="G151" s="124">
        <v>6</v>
      </c>
      <c r="H151" s="124">
        <f>'PPTO 2027'!$N$35</f>
        <v>43300000</v>
      </c>
      <c r="I151" s="124">
        <f>'PPTO 2027'!$AA$35</f>
        <v>46331000</v>
      </c>
      <c r="J151" s="124">
        <f t="shared" si="6"/>
        <v>3031000</v>
      </c>
      <c r="K151" s="124">
        <f t="shared" si="7"/>
        <v>3031000</v>
      </c>
      <c r="L151" s="124">
        <f t="shared" si="8"/>
        <v>7.0000000000000007E-2</v>
      </c>
      <c r="M151" s="124">
        <f>IFERROR(INDEX(tReal27[[Ene]:[Dic]],MATCH(C151,tReal27[Cuenta],0),6),0)</f>
        <v>46121000</v>
      </c>
    </row>
    <row r="152" spans="1:13" x14ac:dyDescent="0.4">
      <c r="A152" s="124" t="str">
        <f>'PPTO 2027'!$E$35</f>
        <v>Comercial</v>
      </c>
      <c r="B152" s="124" t="str">
        <f>'PPTO 2027'!$C$35</f>
        <v>Gastos de ventas</v>
      </c>
      <c r="C152" s="124" t="str">
        <f>'PPTO 2027'!$B$35</f>
        <v>Nómina comercial</v>
      </c>
      <c r="D152" s="124" t="str">
        <f>'PPTO 2027'!$D$35</f>
        <v>Gasto</v>
      </c>
      <c r="E152" s="124" t="str">
        <f>'PPTO 2027'!$F$35</f>
        <v>Nómina</v>
      </c>
      <c r="F152" s="124" t="str">
        <f>CHOOSE(7,"Ene","Feb","Mar","Abr","May","Jun","Jul","Ago","Sep","Oct","Nov","Dic")</f>
        <v>Jul</v>
      </c>
      <c r="G152" s="124">
        <v>7</v>
      </c>
      <c r="H152" s="124">
        <f>'PPTO 2027'!$O$35</f>
        <v>43300000</v>
      </c>
      <c r="I152" s="124">
        <f>'PPTO 2027'!$AB$35</f>
        <v>46331000</v>
      </c>
      <c r="J152" s="124">
        <f t="shared" si="6"/>
        <v>3031000</v>
      </c>
      <c r="K152" s="124">
        <f t="shared" si="7"/>
        <v>3031000</v>
      </c>
      <c r="L152" s="124">
        <f t="shared" si="8"/>
        <v>7.0000000000000007E-2</v>
      </c>
      <c r="M152" s="124">
        <f>IFERROR(INDEX(tReal27[[Ene]:[Dic]],MATCH(C152,tReal27[Cuenta],0),7),0)</f>
        <v>45673000</v>
      </c>
    </row>
    <row r="153" spans="1:13" x14ac:dyDescent="0.4">
      <c r="A153" s="124" t="str">
        <f>'PPTO 2027'!$E$35</f>
        <v>Comercial</v>
      </c>
      <c r="B153" s="124" t="str">
        <f>'PPTO 2027'!$C$35</f>
        <v>Gastos de ventas</v>
      </c>
      <c r="C153" s="124" t="str">
        <f>'PPTO 2027'!$B$35</f>
        <v>Nómina comercial</v>
      </c>
      <c r="D153" s="124" t="str">
        <f>'PPTO 2027'!$D$35</f>
        <v>Gasto</v>
      </c>
      <c r="E153" s="124" t="str">
        <f>'PPTO 2027'!$F$35</f>
        <v>Nómina</v>
      </c>
      <c r="F153" s="124" t="str">
        <f>CHOOSE(8,"Ene","Feb","Mar","Abr","May","Jun","Jul","Ago","Sep","Oct","Nov","Dic")</f>
        <v>Ago</v>
      </c>
      <c r="G153" s="124">
        <v>8</v>
      </c>
      <c r="H153" s="124">
        <f>'PPTO 2027'!$P$35</f>
        <v>43300000</v>
      </c>
      <c r="I153" s="124">
        <f>'PPTO 2027'!$AC$35</f>
        <v>46331000</v>
      </c>
      <c r="J153" s="124">
        <f t="shared" si="6"/>
        <v>3031000</v>
      </c>
      <c r="K153" s="124">
        <f t="shared" si="7"/>
        <v>3031000</v>
      </c>
      <c r="L153" s="124">
        <f t="shared" si="8"/>
        <v>7.0000000000000007E-2</v>
      </c>
      <c r="M153" s="124">
        <f>IFERROR(INDEX(tReal27[[Ene]:[Dic]],MATCH(C153,tReal27[Cuenta],0),8),0)</f>
        <v>47112000</v>
      </c>
    </row>
    <row r="154" spans="1:13" x14ac:dyDescent="0.4">
      <c r="A154" s="124" t="str">
        <f>'PPTO 2027'!$E$35</f>
        <v>Comercial</v>
      </c>
      <c r="B154" s="124" t="str">
        <f>'PPTO 2027'!$C$35</f>
        <v>Gastos de ventas</v>
      </c>
      <c r="C154" s="124" t="str">
        <f>'PPTO 2027'!$B$35</f>
        <v>Nómina comercial</v>
      </c>
      <c r="D154" s="124" t="str">
        <f>'PPTO 2027'!$D$35</f>
        <v>Gasto</v>
      </c>
      <c r="E154" s="124" t="str">
        <f>'PPTO 2027'!$F$35</f>
        <v>Nómina</v>
      </c>
      <c r="F154" s="124" t="str">
        <f>CHOOSE(9,"Ene","Feb","Mar","Abr","May","Jun","Jul","Ago","Sep","Oct","Nov","Dic")</f>
        <v>Sep</v>
      </c>
      <c r="G154" s="124">
        <v>9</v>
      </c>
      <c r="H154" s="124">
        <f>'PPTO 2027'!$Q$35</f>
        <v>43300000</v>
      </c>
      <c r="I154" s="124">
        <f>'PPTO 2027'!$AD$35</f>
        <v>46331000</v>
      </c>
      <c r="J154" s="124">
        <f t="shared" si="6"/>
        <v>3031000</v>
      </c>
      <c r="K154" s="124">
        <f t="shared" si="7"/>
        <v>3031000</v>
      </c>
      <c r="L154" s="124">
        <f t="shared" si="8"/>
        <v>7.0000000000000007E-2</v>
      </c>
      <c r="M154" s="124">
        <f>IFERROR(INDEX(tReal27[[Ene]:[Dic]],MATCH(C154,tReal27[Cuenta],0),9),0)</f>
        <v>46477000</v>
      </c>
    </row>
    <row r="155" spans="1:13" x14ac:dyDescent="0.4">
      <c r="A155" s="124" t="str">
        <f>'PPTO 2027'!$E$35</f>
        <v>Comercial</v>
      </c>
      <c r="B155" s="124" t="str">
        <f>'PPTO 2027'!$C$35</f>
        <v>Gastos de ventas</v>
      </c>
      <c r="C155" s="124" t="str">
        <f>'PPTO 2027'!$B$35</f>
        <v>Nómina comercial</v>
      </c>
      <c r="D155" s="124" t="str">
        <f>'PPTO 2027'!$D$35</f>
        <v>Gasto</v>
      </c>
      <c r="E155" s="124" t="str">
        <f>'PPTO 2027'!$F$35</f>
        <v>Nómina</v>
      </c>
      <c r="F155" s="124" t="str">
        <f>CHOOSE(10,"Ene","Feb","Mar","Abr","May","Jun","Jul","Ago","Sep","Oct","Nov","Dic")</f>
        <v>Oct</v>
      </c>
      <c r="G155" s="124">
        <v>10</v>
      </c>
      <c r="H155" s="124">
        <f>'PPTO 2027'!$R$35</f>
        <v>43300000</v>
      </c>
      <c r="I155" s="124">
        <f>'PPTO 2027'!$AE$35</f>
        <v>46331000</v>
      </c>
      <c r="J155" s="124">
        <f t="shared" si="6"/>
        <v>3031000</v>
      </c>
      <c r="K155" s="124">
        <f t="shared" si="7"/>
        <v>3031000</v>
      </c>
      <c r="L155" s="124">
        <f t="shared" si="8"/>
        <v>7.0000000000000007E-2</v>
      </c>
      <c r="M155" s="124">
        <f>IFERROR(INDEX(tReal27[[Ene]:[Dic]],MATCH(C155,tReal27[Cuenta],0),10),0)</f>
        <v>47539000</v>
      </c>
    </row>
    <row r="156" spans="1:13" x14ac:dyDescent="0.4">
      <c r="A156" s="124" t="str">
        <f>'PPTO 2027'!$E$35</f>
        <v>Comercial</v>
      </c>
      <c r="B156" s="124" t="str">
        <f>'PPTO 2027'!$C$35</f>
        <v>Gastos de ventas</v>
      </c>
      <c r="C156" s="124" t="str">
        <f>'PPTO 2027'!$B$35</f>
        <v>Nómina comercial</v>
      </c>
      <c r="D156" s="124" t="str">
        <f>'PPTO 2027'!$D$35</f>
        <v>Gasto</v>
      </c>
      <c r="E156" s="124" t="str">
        <f>'PPTO 2027'!$F$35</f>
        <v>Nómina</v>
      </c>
      <c r="F156" s="124" t="str">
        <f>CHOOSE(11,"Ene","Feb","Mar","Abr","May","Jun","Jul","Ago","Sep","Oct","Nov","Dic")</f>
        <v>Nov</v>
      </c>
      <c r="G156" s="124">
        <v>11</v>
      </c>
      <c r="H156" s="124">
        <f>'PPTO 2027'!$S$35</f>
        <v>43300000</v>
      </c>
      <c r="I156" s="124">
        <f>'PPTO 2027'!$AF$35</f>
        <v>46331000</v>
      </c>
      <c r="J156" s="124">
        <f t="shared" si="6"/>
        <v>3031000</v>
      </c>
      <c r="K156" s="124">
        <f t="shared" si="7"/>
        <v>3031000</v>
      </c>
      <c r="L156" s="124">
        <f t="shared" si="8"/>
        <v>7.0000000000000007E-2</v>
      </c>
      <c r="M156" s="124">
        <f>IFERROR(INDEX(tReal27[[Ene]:[Dic]],MATCH(C156,tReal27[Cuenta],0),11),0)</f>
        <v>46051000</v>
      </c>
    </row>
    <row r="157" spans="1:13" x14ac:dyDescent="0.4">
      <c r="A157" s="124" t="str">
        <f>'PPTO 2027'!$E$35</f>
        <v>Comercial</v>
      </c>
      <c r="B157" s="124" t="str">
        <f>'PPTO 2027'!$C$35</f>
        <v>Gastos de ventas</v>
      </c>
      <c r="C157" s="124" t="str">
        <f>'PPTO 2027'!$B$35</f>
        <v>Nómina comercial</v>
      </c>
      <c r="D157" s="124" t="str">
        <f>'PPTO 2027'!$D$35</f>
        <v>Gasto</v>
      </c>
      <c r="E157" s="124" t="str">
        <f>'PPTO 2027'!$F$35</f>
        <v>Nómina</v>
      </c>
      <c r="F157" s="124" t="str">
        <f>CHOOSE(12,"Ene","Feb","Mar","Abr","May","Jun","Jul","Ago","Sep","Oct","Nov","Dic")</f>
        <v>Dic</v>
      </c>
      <c r="G157" s="124">
        <v>12</v>
      </c>
      <c r="H157" s="124">
        <f>'PPTO 2027'!$T$35</f>
        <v>43700000</v>
      </c>
      <c r="I157" s="124">
        <f>'PPTO 2027'!$AG$35</f>
        <v>46759000</v>
      </c>
      <c r="J157" s="124">
        <f t="shared" si="6"/>
        <v>3059000</v>
      </c>
      <c r="K157" s="124">
        <f t="shared" si="7"/>
        <v>3059000</v>
      </c>
      <c r="L157" s="124">
        <f t="shared" si="8"/>
        <v>7.0000000000000007E-2</v>
      </c>
      <c r="M157" s="124">
        <f>IFERROR(INDEX(tReal27[[Ene]:[Dic]],MATCH(C157,tReal27[Cuenta],0),12),0)</f>
        <v>47445000</v>
      </c>
    </row>
    <row r="158" spans="1:13" x14ac:dyDescent="0.4">
      <c r="A158" s="124" t="str">
        <f>'PPTO 2027'!$E$36</f>
        <v>Comercial</v>
      </c>
      <c r="B158" s="124" t="str">
        <f>'PPTO 2027'!$C$36</f>
        <v>Gastos de ventas</v>
      </c>
      <c r="C158" s="124" t="str">
        <f>'PPTO 2027'!$B$36</f>
        <v>Comisiones de ventas</v>
      </c>
      <c r="D158" s="124" t="str">
        <f>'PPTO 2027'!$D$36</f>
        <v>Gasto</v>
      </c>
      <c r="E158" s="124" t="str">
        <f>'PPTO 2027'!$F$36</f>
        <v>Ventas</v>
      </c>
      <c r="F158" s="124" t="str">
        <f>CHOOSE(1,"Ene","Feb","Mar","Abr","May","Jun","Jul","Ago","Sep","Oct","Nov","Dic")</f>
        <v>Ene</v>
      </c>
      <c r="G158" s="124">
        <v>1</v>
      </c>
      <c r="H158" s="124">
        <f>'PPTO 2027'!$I$36</f>
        <v>24000000</v>
      </c>
      <c r="I158" s="124">
        <f>'PPTO 2027'!$V$36</f>
        <v>26712000</v>
      </c>
      <c r="J158" s="124">
        <f t="shared" si="6"/>
        <v>2712000</v>
      </c>
      <c r="K158" s="124">
        <f t="shared" si="7"/>
        <v>2712000</v>
      </c>
      <c r="L158" s="124">
        <f t="shared" si="8"/>
        <v>0.113</v>
      </c>
      <c r="M158" s="124">
        <f>IFERROR(INDEX(tReal27[[Ene]:[Dic]],MATCH(C158,tReal27[Cuenta],0),1),0)</f>
        <v>28100000</v>
      </c>
    </row>
    <row r="159" spans="1:13" x14ac:dyDescent="0.4">
      <c r="A159" s="124" t="str">
        <f>'PPTO 2027'!$E$36</f>
        <v>Comercial</v>
      </c>
      <c r="B159" s="124" t="str">
        <f>'PPTO 2027'!$C$36</f>
        <v>Gastos de ventas</v>
      </c>
      <c r="C159" s="124" t="str">
        <f>'PPTO 2027'!$B$36</f>
        <v>Comisiones de ventas</v>
      </c>
      <c r="D159" s="124" t="str">
        <f>'PPTO 2027'!$D$36</f>
        <v>Gasto</v>
      </c>
      <c r="E159" s="124" t="str">
        <f>'PPTO 2027'!$F$36</f>
        <v>Ventas</v>
      </c>
      <c r="F159" s="124" t="str">
        <f>CHOOSE(2,"Ene","Feb","Mar","Abr","May","Jun","Jul","Ago","Sep","Oct","Nov","Dic")</f>
        <v>Feb</v>
      </c>
      <c r="G159" s="124">
        <v>2</v>
      </c>
      <c r="H159" s="124">
        <f>'PPTO 2027'!$J$36</f>
        <v>25500000</v>
      </c>
      <c r="I159" s="124">
        <f>'PPTO 2027'!$W$36</f>
        <v>28381500</v>
      </c>
      <c r="J159" s="124">
        <f t="shared" si="6"/>
        <v>2881500</v>
      </c>
      <c r="K159" s="124">
        <f t="shared" si="7"/>
        <v>2881500</v>
      </c>
      <c r="L159" s="124">
        <f t="shared" si="8"/>
        <v>0.113</v>
      </c>
      <c r="M159" s="124">
        <f>IFERROR(INDEX(tReal27[[Ene]:[Dic]],MATCH(C159,tReal27[Cuenta],0),2),0)</f>
        <v>29683000</v>
      </c>
    </row>
    <row r="160" spans="1:13" x14ac:dyDescent="0.4">
      <c r="A160" s="124" t="str">
        <f>'PPTO 2027'!$E$36</f>
        <v>Comercial</v>
      </c>
      <c r="B160" s="124" t="str">
        <f>'PPTO 2027'!$C$36</f>
        <v>Gastos de ventas</v>
      </c>
      <c r="C160" s="124" t="str">
        <f>'PPTO 2027'!$B$36</f>
        <v>Comisiones de ventas</v>
      </c>
      <c r="D160" s="124" t="str">
        <f>'PPTO 2027'!$D$36</f>
        <v>Gasto</v>
      </c>
      <c r="E160" s="124" t="str">
        <f>'PPTO 2027'!$F$36</f>
        <v>Ventas</v>
      </c>
      <c r="F160" s="124" t="str">
        <f>CHOOSE(3,"Ene","Feb","Mar","Abr","May","Jun","Jul","Ago","Sep","Oct","Nov","Dic")</f>
        <v>Mar</v>
      </c>
      <c r="G160" s="124">
        <v>3</v>
      </c>
      <c r="H160" s="124">
        <f>'PPTO 2027'!$K$36</f>
        <v>28500000</v>
      </c>
      <c r="I160" s="124">
        <f>'PPTO 2027'!$X$36</f>
        <v>31720500</v>
      </c>
      <c r="J160" s="124">
        <f t="shared" si="6"/>
        <v>3220500</v>
      </c>
      <c r="K160" s="124">
        <f t="shared" si="7"/>
        <v>3220500</v>
      </c>
      <c r="L160" s="124">
        <f t="shared" si="8"/>
        <v>0.113</v>
      </c>
      <c r="M160" s="124">
        <f>IFERROR(INDEX(tReal27[[Ene]:[Dic]],MATCH(C160,tReal27[Cuenta],0),3),0)</f>
        <v>35003000</v>
      </c>
    </row>
    <row r="161" spans="1:13" x14ac:dyDescent="0.4">
      <c r="A161" s="124" t="str">
        <f>'PPTO 2027'!$E$36</f>
        <v>Comercial</v>
      </c>
      <c r="B161" s="124" t="str">
        <f>'PPTO 2027'!$C$36</f>
        <v>Gastos de ventas</v>
      </c>
      <c r="C161" s="124" t="str">
        <f>'PPTO 2027'!$B$36</f>
        <v>Comisiones de ventas</v>
      </c>
      <c r="D161" s="124" t="str">
        <f>'PPTO 2027'!$D$36</f>
        <v>Gasto</v>
      </c>
      <c r="E161" s="124" t="str">
        <f>'PPTO 2027'!$F$36</f>
        <v>Ventas</v>
      </c>
      <c r="F161" s="124" t="str">
        <f>CHOOSE(4,"Ene","Feb","Mar","Abr","May","Jun","Jul","Ago","Sep","Oct","Nov","Dic")</f>
        <v>Abr</v>
      </c>
      <c r="G161" s="124">
        <v>4</v>
      </c>
      <c r="H161" s="124">
        <f>'PPTO 2027'!$L$36</f>
        <v>28500000</v>
      </c>
      <c r="I161" s="124">
        <f>'PPTO 2027'!$Y$36</f>
        <v>31720500</v>
      </c>
      <c r="J161" s="124">
        <f t="shared" si="6"/>
        <v>3220500</v>
      </c>
      <c r="K161" s="124">
        <f t="shared" si="7"/>
        <v>3220500</v>
      </c>
      <c r="L161" s="124">
        <f t="shared" si="8"/>
        <v>0.113</v>
      </c>
      <c r="M161" s="124">
        <f>IFERROR(INDEX(tReal27[[Ene]:[Dic]],MATCH(C161,tReal27[Cuenta],0),4),0)</f>
        <v>33378000</v>
      </c>
    </row>
    <row r="162" spans="1:13" x14ac:dyDescent="0.4">
      <c r="A162" s="124" t="str">
        <f>'PPTO 2027'!$E$36</f>
        <v>Comercial</v>
      </c>
      <c r="B162" s="124" t="str">
        <f>'PPTO 2027'!$C$36</f>
        <v>Gastos de ventas</v>
      </c>
      <c r="C162" s="124" t="str">
        <f>'PPTO 2027'!$B$36</f>
        <v>Comisiones de ventas</v>
      </c>
      <c r="D162" s="124" t="str">
        <f>'PPTO 2027'!$D$36</f>
        <v>Gasto</v>
      </c>
      <c r="E162" s="124" t="str">
        <f>'PPTO 2027'!$F$36</f>
        <v>Ventas</v>
      </c>
      <c r="F162" s="124" t="str">
        <f>CHOOSE(5,"Ene","Feb","Mar","Abr","May","Jun","Jul","Ago","Sep","Oct","Nov","Dic")</f>
        <v>May</v>
      </c>
      <c r="G162" s="124">
        <v>5</v>
      </c>
      <c r="H162" s="124">
        <f>'PPTO 2027'!$M$36</f>
        <v>30000000</v>
      </c>
      <c r="I162" s="124">
        <f>'PPTO 2027'!$Z$36</f>
        <v>33390000</v>
      </c>
      <c r="J162" s="124">
        <f t="shared" si="6"/>
        <v>3390000</v>
      </c>
      <c r="K162" s="124">
        <f t="shared" si="7"/>
        <v>3390000</v>
      </c>
      <c r="L162" s="124">
        <f t="shared" si="8"/>
        <v>0.113</v>
      </c>
      <c r="M162" s="124">
        <f>IFERROR(INDEX(tReal27[[Ene]:[Dic]],MATCH(C162,tReal27[Cuenta],0),5),0)</f>
        <v>35263000</v>
      </c>
    </row>
    <row r="163" spans="1:13" x14ac:dyDescent="0.4">
      <c r="A163" s="124" t="str">
        <f>'PPTO 2027'!$E$36</f>
        <v>Comercial</v>
      </c>
      <c r="B163" s="124" t="str">
        <f>'PPTO 2027'!$C$36</f>
        <v>Gastos de ventas</v>
      </c>
      <c r="C163" s="124" t="str">
        <f>'PPTO 2027'!$B$36</f>
        <v>Comisiones de ventas</v>
      </c>
      <c r="D163" s="124" t="str">
        <f>'PPTO 2027'!$D$36</f>
        <v>Gasto</v>
      </c>
      <c r="E163" s="124" t="str">
        <f>'PPTO 2027'!$F$36</f>
        <v>Ventas</v>
      </c>
      <c r="F163" s="124" t="str">
        <f>CHOOSE(6,"Ene","Feb","Mar","Abr","May","Jun","Jul","Ago","Sep","Oct","Nov","Dic")</f>
        <v>Jun</v>
      </c>
      <c r="G163" s="124">
        <v>6</v>
      </c>
      <c r="H163" s="124">
        <f>'PPTO 2027'!$N$36</f>
        <v>30000000</v>
      </c>
      <c r="I163" s="124">
        <f>'PPTO 2027'!$AA$36</f>
        <v>33390000</v>
      </c>
      <c r="J163" s="124">
        <f t="shared" si="6"/>
        <v>3390000</v>
      </c>
      <c r="K163" s="124">
        <f t="shared" si="7"/>
        <v>3390000</v>
      </c>
      <c r="L163" s="124">
        <f t="shared" si="8"/>
        <v>0.113</v>
      </c>
      <c r="M163" s="124">
        <f>IFERROR(INDEX(tReal27[[Ene]:[Dic]],MATCH(C163,tReal27[Cuenta],0),6),0)</f>
        <v>34880000</v>
      </c>
    </row>
    <row r="164" spans="1:13" x14ac:dyDescent="0.4">
      <c r="A164" s="124" t="str">
        <f>'PPTO 2027'!$E$36</f>
        <v>Comercial</v>
      </c>
      <c r="B164" s="124" t="str">
        <f>'PPTO 2027'!$C$36</f>
        <v>Gastos de ventas</v>
      </c>
      <c r="C164" s="124" t="str">
        <f>'PPTO 2027'!$B$36</f>
        <v>Comisiones de ventas</v>
      </c>
      <c r="D164" s="124" t="str">
        <f>'PPTO 2027'!$D$36</f>
        <v>Gasto</v>
      </c>
      <c r="E164" s="124" t="str">
        <f>'PPTO 2027'!$F$36</f>
        <v>Ventas</v>
      </c>
      <c r="F164" s="124" t="str">
        <f>CHOOSE(7,"Ene","Feb","Mar","Abr","May","Jun","Jul","Ago","Sep","Oct","Nov","Dic")</f>
        <v>Jul</v>
      </c>
      <c r="G164" s="124">
        <v>7</v>
      </c>
      <c r="H164" s="124">
        <f>'PPTO 2027'!$O$36</f>
        <v>30000000</v>
      </c>
      <c r="I164" s="124">
        <f>'PPTO 2027'!$AB$36</f>
        <v>33390000</v>
      </c>
      <c r="J164" s="124">
        <f t="shared" si="6"/>
        <v>3390000</v>
      </c>
      <c r="K164" s="124">
        <f t="shared" si="7"/>
        <v>3390000</v>
      </c>
      <c r="L164" s="124">
        <f t="shared" si="8"/>
        <v>0.113</v>
      </c>
      <c r="M164" s="124">
        <f>IFERROR(INDEX(tReal27[[Ene]:[Dic]],MATCH(C164,tReal27[Cuenta],0),7),0)</f>
        <v>35746000</v>
      </c>
    </row>
    <row r="165" spans="1:13" x14ac:dyDescent="0.4">
      <c r="A165" s="124" t="str">
        <f>'PPTO 2027'!$E$36</f>
        <v>Comercial</v>
      </c>
      <c r="B165" s="124" t="str">
        <f>'PPTO 2027'!$C$36</f>
        <v>Gastos de ventas</v>
      </c>
      <c r="C165" s="124" t="str">
        <f>'PPTO 2027'!$B$36</f>
        <v>Comisiones de ventas</v>
      </c>
      <c r="D165" s="124" t="str">
        <f>'PPTO 2027'!$D$36</f>
        <v>Gasto</v>
      </c>
      <c r="E165" s="124" t="str">
        <f>'PPTO 2027'!$F$36</f>
        <v>Ventas</v>
      </c>
      <c r="F165" s="124" t="str">
        <f>CHOOSE(8,"Ene","Feb","Mar","Abr","May","Jun","Jul","Ago","Sep","Oct","Nov","Dic")</f>
        <v>Ago</v>
      </c>
      <c r="G165" s="124">
        <v>8</v>
      </c>
      <c r="H165" s="124">
        <f>'PPTO 2027'!$P$36</f>
        <v>31500000</v>
      </c>
      <c r="I165" s="124">
        <f>'PPTO 2027'!$AC$36</f>
        <v>35059500</v>
      </c>
      <c r="J165" s="124">
        <f t="shared" si="6"/>
        <v>3559500</v>
      </c>
      <c r="K165" s="124">
        <f t="shared" si="7"/>
        <v>3559500</v>
      </c>
      <c r="L165" s="124">
        <f t="shared" si="8"/>
        <v>0.113</v>
      </c>
      <c r="M165" s="124">
        <f>IFERROR(INDEX(tReal27[[Ene]:[Dic]],MATCH(C165,tReal27[Cuenta],0),8),0)</f>
        <v>37036000</v>
      </c>
    </row>
    <row r="166" spans="1:13" x14ac:dyDescent="0.4">
      <c r="A166" s="124" t="str">
        <f>'PPTO 2027'!$E$36</f>
        <v>Comercial</v>
      </c>
      <c r="B166" s="124" t="str">
        <f>'PPTO 2027'!$C$36</f>
        <v>Gastos de ventas</v>
      </c>
      <c r="C166" s="124" t="str">
        <f>'PPTO 2027'!$B$36</f>
        <v>Comisiones de ventas</v>
      </c>
      <c r="D166" s="124" t="str">
        <f>'PPTO 2027'!$D$36</f>
        <v>Gasto</v>
      </c>
      <c r="E166" s="124" t="str">
        <f>'PPTO 2027'!$F$36</f>
        <v>Ventas</v>
      </c>
      <c r="F166" s="124" t="str">
        <f>CHOOSE(9,"Ene","Feb","Mar","Abr","May","Jun","Jul","Ago","Sep","Oct","Nov","Dic")</f>
        <v>Sep</v>
      </c>
      <c r="G166" s="124">
        <v>9</v>
      </c>
      <c r="H166" s="124">
        <f>'PPTO 2027'!$Q$36</f>
        <v>30000000</v>
      </c>
      <c r="I166" s="124">
        <f>'PPTO 2027'!$AD$36</f>
        <v>33390000</v>
      </c>
      <c r="J166" s="124">
        <f t="shared" si="6"/>
        <v>3390000</v>
      </c>
      <c r="K166" s="124">
        <f t="shared" si="7"/>
        <v>3390000</v>
      </c>
      <c r="L166" s="124">
        <f t="shared" si="8"/>
        <v>0.113</v>
      </c>
      <c r="M166" s="124">
        <f>IFERROR(INDEX(tReal27[[Ene]:[Dic]],MATCH(C166,tReal27[Cuenta],0),9),0)</f>
        <v>34932000</v>
      </c>
    </row>
    <row r="167" spans="1:13" x14ac:dyDescent="0.4">
      <c r="A167" s="124" t="str">
        <f>'PPTO 2027'!$E$36</f>
        <v>Comercial</v>
      </c>
      <c r="B167" s="124" t="str">
        <f>'PPTO 2027'!$C$36</f>
        <v>Gastos de ventas</v>
      </c>
      <c r="C167" s="124" t="str">
        <f>'PPTO 2027'!$B$36</f>
        <v>Comisiones de ventas</v>
      </c>
      <c r="D167" s="124" t="str">
        <f>'PPTO 2027'!$D$36</f>
        <v>Gasto</v>
      </c>
      <c r="E167" s="124" t="str">
        <f>'PPTO 2027'!$F$36</f>
        <v>Ventas</v>
      </c>
      <c r="F167" s="124" t="str">
        <f>CHOOSE(10,"Ene","Feb","Mar","Abr","May","Jun","Jul","Ago","Sep","Oct","Nov","Dic")</f>
        <v>Oct</v>
      </c>
      <c r="G167" s="124">
        <v>10</v>
      </c>
      <c r="H167" s="124">
        <f>'PPTO 2027'!$R$36</f>
        <v>31500000</v>
      </c>
      <c r="I167" s="124">
        <f>'PPTO 2027'!$AE$36</f>
        <v>35059500</v>
      </c>
      <c r="J167" s="124">
        <f t="shared" si="6"/>
        <v>3559500</v>
      </c>
      <c r="K167" s="124">
        <f t="shared" si="7"/>
        <v>3559500</v>
      </c>
      <c r="L167" s="124">
        <f t="shared" si="8"/>
        <v>0.113</v>
      </c>
      <c r="M167" s="124">
        <f>IFERROR(INDEX(tReal27[[Ene]:[Dic]],MATCH(C167,tReal27[Cuenta],0),10),0)</f>
        <v>36921000</v>
      </c>
    </row>
    <row r="168" spans="1:13" x14ac:dyDescent="0.4">
      <c r="A168" s="124" t="str">
        <f>'PPTO 2027'!$E$36</f>
        <v>Comercial</v>
      </c>
      <c r="B168" s="124" t="str">
        <f>'PPTO 2027'!$C$36</f>
        <v>Gastos de ventas</v>
      </c>
      <c r="C168" s="124" t="str">
        <f>'PPTO 2027'!$B$36</f>
        <v>Comisiones de ventas</v>
      </c>
      <c r="D168" s="124" t="str">
        <f>'PPTO 2027'!$D$36</f>
        <v>Gasto</v>
      </c>
      <c r="E168" s="124" t="str">
        <f>'PPTO 2027'!$F$36</f>
        <v>Ventas</v>
      </c>
      <c r="F168" s="124" t="str">
        <f>CHOOSE(11,"Ene","Feb","Mar","Abr","May","Jun","Jul","Ago","Sep","Oct","Nov","Dic")</f>
        <v>Nov</v>
      </c>
      <c r="G168" s="124">
        <v>11</v>
      </c>
      <c r="H168" s="124">
        <f>'PPTO 2027'!$S$36</f>
        <v>34500000</v>
      </c>
      <c r="I168" s="124">
        <f>'PPTO 2027'!$AF$36</f>
        <v>38398500</v>
      </c>
      <c r="J168" s="124">
        <f t="shared" si="6"/>
        <v>3898500</v>
      </c>
      <c r="K168" s="124">
        <f t="shared" si="7"/>
        <v>3898500</v>
      </c>
      <c r="L168" s="124">
        <f t="shared" si="8"/>
        <v>0.113</v>
      </c>
      <c r="M168" s="124">
        <f>IFERROR(INDEX(tReal27[[Ene]:[Dic]],MATCH(C168,tReal27[Cuenta],0),11),0)</f>
        <v>40042000</v>
      </c>
    </row>
    <row r="169" spans="1:13" x14ac:dyDescent="0.4">
      <c r="A169" s="124" t="str">
        <f>'PPTO 2027'!$E$36</f>
        <v>Comercial</v>
      </c>
      <c r="B169" s="124" t="str">
        <f>'PPTO 2027'!$C$36</f>
        <v>Gastos de ventas</v>
      </c>
      <c r="C169" s="124" t="str">
        <f>'PPTO 2027'!$B$36</f>
        <v>Comisiones de ventas</v>
      </c>
      <c r="D169" s="124" t="str">
        <f>'PPTO 2027'!$D$36</f>
        <v>Gasto</v>
      </c>
      <c r="E169" s="124" t="str">
        <f>'PPTO 2027'!$F$36</f>
        <v>Ventas</v>
      </c>
      <c r="F169" s="124" t="str">
        <f>CHOOSE(12,"Ene","Feb","Mar","Abr","May","Jun","Jul","Ago","Sep","Oct","Nov","Dic")</f>
        <v>Dic</v>
      </c>
      <c r="G169" s="124">
        <v>12</v>
      </c>
      <c r="H169" s="124">
        <f>'PPTO 2027'!$T$36</f>
        <v>36000000</v>
      </c>
      <c r="I169" s="124">
        <f>'PPTO 2027'!$AG$36</f>
        <v>40068000</v>
      </c>
      <c r="J169" s="124">
        <f t="shared" si="6"/>
        <v>4068000</v>
      </c>
      <c r="K169" s="124">
        <f t="shared" si="7"/>
        <v>4068000</v>
      </c>
      <c r="L169" s="124">
        <f t="shared" si="8"/>
        <v>0.113</v>
      </c>
      <c r="M169" s="124">
        <f>IFERROR(INDEX(tReal27[[Ene]:[Dic]],MATCH(C169,tReal27[Cuenta],0),12),0)</f>
        <v>41480000</v>
      </c>
    </row>
    <row r="170" spans="1:13" x14ac:dyDescent="0.4">
      <c r="A170" s="124" t="str">
        <f>'PPTO 2027'!$E$37</f>
        <v>Comercial</v>
      </c>
      <c r="B170" s="124" t="str">
        <f>'PPTO 2027'!$C$37</f>
        <v>Gastos de ventas</v>
      </c>
      <c r="C170" s="124" t="str">
        <f>'PPTO 2027'!$B$37</f>
        <v>Publicidad y mercadeo</v>
      </c>
      <c r="D170" s="124" t="str">
        <f>'PPTO 2027'!$D$37</f>
        <v>Gasto</v>
      </c>
      <c r="E170" s="124" t="str">
        <f>'PPTO 2027'!$F$37</f>
        <v>IPC</v>
      </c>
      <c r="F170" s="124" t="str">
        <f>CHOOSE(1,"Ene","Feb","Mar","Abr","May","Jun","Jul","Ago","Sep","Oct","Nov","Dic")</f>
        <v>Ene</v>
      </c>
      <c r="G170" s="124">
        <v>1</v>
      </c>
      <c r="H170" s="124">
        <f>'PPTO 2027'!$I$37</f>
        <v>20000000</v>
      </c>
      <c r="I170" s="124">
        <f>'PPTO 2027'!$V$37</f>
        <v>27039999.999999996</v>
      </c>
      <c r="J170" s="124">
        <f t="shared" si="6"/>
        <v>7039999.9999999963</v>
      </c>
      <c r="K170" s="124">
        <f t="shared" si="7"/>
        <v>7039999.9999999963</v>
      </c>
      <c r="L170" s="124">
        <f t="shared" si="8"/>
        <v>0.35199999999999981</v>
      </c>
      <c r="M170" s="124">
        <f>IFERROR(INDEX(tReal27[[Ene]:[Dic]],MATCH(C170,tReal27[Cuenta],0),1),0)</f>
        <v>29722000</v>
      </c>
    </row>
    <row r="171" spans="1:13" x14ac:dyDescent="0.4">
      <c r="A171" s="124" t="str">
        <f>'PPTO 2027'!$E$37</f>
        <v>Comercial</v>
      </c>
      <c r="B171" s="124" t="str">
        <f>'PPTO 2027'!$C$37</f>
        <v>Gastos de ventas</v>
      </c>
      <c r="C171" s="124" t="str">
        <f>'PPTO 2027'!$B$37</f>
        <v>Publicidad y mercadeo</v>
      </c>
      <c r="D171" s="124" t="str">
        <f>'PPTO 2027'!$D$37</f>
        <v>Gasto</v>
      </c>
      <c r="E171" s="124" t="str">
        <f>'PPTO 2027'!$F$37</f>
        <v>IPC</v>
      </c>
      <c r="F171" s="124" t="str">
        <f>CHOOSE(2,"Ene","Feb","Mar","Abr","May","Jun","Jul","Ago","Sep","Oct","Nov","Dic")</f>
        <v>Feb</v>
      </c>
      <c r="G171" s="124">
        <v>2</v>
      </c>
      <c r="H171" s="124">
        <f>'PPTO 2027'!$J$37</f>
        <v>20000000</v>
      </c>
      <c r="I171" s="124">
        <f>'PPTO 2027'!$W$37</f>
        <v>27039999.999999996</v>
      </c>
      <c r="J171" s="124">
        <f t="shared" si="6"/>
        <v>7039999.9999999963</v>
      </c>
      <c r="K171" s="124">
        <f t="shared" si="7"/>
        <v>7039999.9999999963</v>
      </c>
      <c r="L171" s="124">
        <f t="shared" si="8"/>
        <v>0.35199999999999981</v>
      </c>
      <c r="M171" s="124">
        <f>IFERROR(INDEX(tReal27[[Ene]:[Dic]],MATCH(C171,tReal27[Cuenta],0),2),0)</f>
        <v>29291000</v>
      </c>
    </row>
    <row r="172" spans="1:13" x14ac:dyDescent="0.4">
      <c r="A172" s="124" t="str">
        <f>'PPTO 2027'!$E$37</f>
        <v>Comercial</v>
      </c>
      <c r="B172" s="124" t="str">
        <f>'PPTO 2027'!$C$37</f>
        <v>Gastos de ventas</v>
      </c>
      <c r="C172" s="124" t="str">
        <f>'PPTO 2027'!$B$37</f>
        <v>Publicidad y mercadeo</v>
      </c>
      <c r="D172" s="124" t="str">
        <f>'PPTO 2027'!$D$37</f>
        <v>Gasto</v>
      </c>
      <c r="E172" s="124" t="str">
        <f>'PPTO 2027'!$F$37</f>
        <v>IPC</v>
      </c>
      <c r="F172" s="124" t="str">
        <f>CHOOSE(3,"Ene","Feb","Mar","Abr","May","Jun","Jul","Ago","Sep","Oct","Nov","Dic")</f>
        <v>Mar</v>
      </c>
      <c r="G172" s="124">
        <v>3</v>
      </c>
      <c r="H172" s="124">
        <f>'PPTO 2027'!$K$37</f>
        <v>20000000</v>
      </c>
      <c r="I172" s="124">
        <f>'PPTO 2027'!$X$37</f>
        <v>27039999.999999996</v>
      </c>
      <c r="J172" s="124">
        <f t="shared" si="6"/>
        <v>7039999.9999999963</v>
      </c>
      <c r="K172" s="124">
        <f t="shared" si="7"/>
        <v>7039999.9999999963</v>
      </c>
      <c r="L172" s="124">
        <f t="shared" si="8"/>
        <v>0.35199999999999981</v>
      </c>
      <c r="M172" s="124">
        <f>IFERROR(INDEX(tReal27[[Ene]:[Dic]],MATCH(C172,tReal27[Cuenta],0),3),0)</f>
        <v>29305000</v>
      </c>
    </row>
    <row r="173" spans="1:13" x14ac:dyDescent="0.4">
      <c r="A173" s="124" t="str">
        <f>'PPTO 2027'!$E$37</f>
        <v>Comercial</v>
      </c>
      <c r="B173" s="124" t="str">
        <f>'PPTO 2027'!$C$37</f>
        <v>Gastos de ventas</v>
      </c>
      <c r="C173" s="124" t="str">
        <f>'PPTO 2027'!$B$37</f>
        <v>Publicidad y mercadeo</v>
      </c>
      <c r="D173" s="124" t="str">
        <f>'PPTO 2027'!$D$37</f>
        <v>Gasto</v>
      </c>
      <c r="E173" s="124" t="str">
        <f>'PPTO 2027'!$F$37</f>
        <v>IPC</v>
      </c>
      <c r="F173" s="124" t="str">
        <f>CHOOSE(4,"Ene","Feb","Mar","Abr","May","Jun","Jul","Ago","Sep","Oct","Nov","Dic")</f>
        <v>Abr</v>
      </c>
      <c r="G173" s="124">
        <v>4</v>
      </c>
      <c r="H173" s="124">
        <f>'PPTO 2027'!$L$37</f>
        <v>20000000</v>
      </c>
      <c r="I173" s="124">
        <f>'PPTO 2027'!$Y$37</f>
        <v>27039999.999999996</v>
      </c>
      <c r="J173" s="124">
        <f t="shared" si="6"/>
        <v>7039999.9999999963</v>
      </c>
      <c r="K173" s="124">
        <f t="shared" si="7"/>
        <v>7039999.9999999963</v>
      </c>
      <c r="L173" s="124">
        <f t="shared" si="8"/>
        <v>0.35199999999999981</v>
      </c>
      <c r="M173" s="124">
        <f>IFERROR(INDEX(tReal27[[Ene]:[Dic]],MATCH(C173,tReal27[Cuenta],0),4),0)</f>
        <v>29112000</v>
      </c>
    </row>
    <row r="174" spans="1:13" x14ac:dyDescent="0.4">
      <c r="A174" s="124" t="str">
        <f>'PPTO 2027'!$E$37</f>
        <v>Comercial</v>
      </c>
      <c r="B174" s="124" t="str">
        <f>'PPTO 2027'!$C$37</f>
        <v>Gastos de ventas</v>
      </c>
      <c r="C174" s="124" t="str">
        <f>'PPTO 2027'!$B$37</f>
        <v>Publicidad y mercadeo</v>
      </c>
      <c r="D174" s="124" t="str">
        <f>'PPTO 2027'!$D$37</f>
        <v>Gasto</v>
      </c>
      <c r="E174" s="124" t="str">
        <f>'PPTO 2027'!$F$37</f>
        <v>IPC</v>
      </c>
      <c r="F174" s="124" t="str">
        <f>CHOOSE(5,"Ene","Feb","Mar","Abr","May","Jun","Jul","Ago","Sep","Oct","Nov","Dic")</f>
        <v>May</v>
      </c>
      <c r="G174" s="124">
        <v>5</v>
      </c>
      <c r="H174" s="124">
        <f>'PPTO 2027'!$M$37</f>
        <v>20000000</v>
      </c>
      <c r="I174" s="124">
        <f>'PPTO 2027'!$Z$37</f>
        <v>27039999.999999996</v>
      </c>
      <c r="J174" s="124">
        <f t="shared" si="6"/>
        <v>7039999.9999999963</v>
      </c>
      <c r="K174" s="124">
        <f t="shared" si="7"/>
        <v>7039999.9999999963</v>
      </c>
      <c r="L174" s="124">
        <f t="shared" si="8"/>
        <v>0.35199999999999981</v>
      </c>
      <c r="M174" s="124">
        <f>IFERROR(INDEX(tReal27[[Ene]:[Dic]],MATCH(C174,tReal27[Cuenta],0),5),0)</f>
        <v>29892000</v>
      </c>
    </row>
    <row r="175" spans="1:13" x14ac:dyDescent="0.4">
      <c r="A175" s="124" t="str">
        <f>'PPTO 2027'!$E$37</f>
        <v>Comercial</v>
      </c>
      <c r="B175" s="124" t="str">
        <f>'PPTO 2027'!$C$37</f>
        <v>Gastos de ventas</v>
      </c>
      <c r="C175" s="124" t="str">
        <f>'PPTO 2027'!$B$37</f>
        <v>Publicidad y mercadeo</v>
      </c>
      <c r="D175" s="124" t="str">
        <f>'PPTO 2027'!$D$37</f>
        <v>Gasto</v>
      </c>
      <c r="E175" s="124" t="str">
        <f>'PPTO 2027'!$F$37</f>
        <v>IPC</v>
      </c>
      <c r="F175" s="124" t="str">
        <f>CHOOSE(6,"Ene","Feb","Mar","Abr","May","Jun","Jul","Ago","Sep","Oct","Nov","Dic")</f>
        <v>Jun</v>
      </c>
      <c r="G175" s="124">
        <v>6</v>
      </c>
      <c r="H175" s="124">
        <f>'PPTO 2027'!$N$37</f>
        <v>20000000</v>
      </c>
      <c r="I175" s="124">
        <f>'PPTO 2027'!$AA$37</f>
        <v>27039999.999999996</v>
      </c>
      <c r="J175" s="124">
        <f t="shared" si="6"/>
        <v>7039999.9999999963</v>
      </c>
      <c r="K175" s="124">
        <f t="shared" si="7"/>
        <v>7039999.9999999963</v>
      </c>
      <c r="L175" s="124">
        <f t="shared" si="8"/>
        <v>0.35199999999999981</v>
      </c>
      <c r="M175" s="124">
        <f>IFERROR(INDEX(tReal27[[Ene]:[Dic]],MATCH(C175,tReal27[Cuenta],0),6),0)</f>
        <v>29566000</v>
      </c>
    </row>
    <row r="176" spans="1:13" x14ac:dyDescent="0.4">
      <c r="A176" s="124" t="str">
        <f>'PPTO 2027'!$E$37</f>
        <v>Comercial</v>
      </c>
      <c r="B176" s="124" t="str">
        <f>'PPTO 2027'!$C$37</f>
        <v>Gastos de ventas</v>
      </c>
      <c r="C176" s="124" t="str">
        <f>'PPTO 2027'!$B$37</f>
        <v>Publicidad y mercadeo</v>
      </c>
      <c r="D176" s="124" t="str">
        <f>'PPTO 2027'!$D$37</f>
        <v>Gasto</v>
      </c>
      <c r="E176" s="124" t="str">
        <f>'PPTO 2027'!$F$37</f>
        <v>IPC</v>
      </c>
      <c r="F176" s="124" t="str">
        <f>CHOOSE(7,"Ene","Feb","Mar","Abr","May","Jun","Jul","Ago","Sep","Oct","Nov","Dic")</f>
        <v>Jul</v>
      </c>
      <c r="G176" s="124">
        <v>7</v>
      </c>
      <c r="H176" s="124">
        <f>'PPTO 2027'!$O$37</f>
        <v>20000000</v>
      </c>
      <c r="I176" s="124">
        <f>'PPTO 2027'!$AB$37</f>
        <v>27039999.999999996</v>
      </c>
      <c r="J176" s="124">
        <f t="shared" si="6"/>
        <v>7039999.9999999963</v>
      </c>
      <c r="K176" s="124">
        <f t="shared" si="7"/>
        <v>7039999.9999999963</v>
      </c>
      <c r="L176" s="124">
        <f t="shared" si="8"/>
        <v>0.35199999999999981</v>
      </c>
      <c r="M176" s="124">
        <f>IFERROR(INDEX(tReal27[[Ene]:[Dic]],MATCH(C176,tReal27[Cuenta],0),7),0)</f>
        <v>29512000</v>
      </c>
    </row>
    <row r="177" spans="1:13" x14ac:dyDescent="0.4">
      <c r="A177" s="124" t="str">
        <f>'PPTO 2027'!$E$37</f>
        <v>Comercial</v>
      </c>
      <c r="B177" s="124" t="str">
        <f>'PPTO 2027'!$C$37</f>
        <v>Gastos de ventas</v>
      </c>
      <c r="C177" s="124" t="str">
        <f>'PPTO 2027'!$B$37</f>
        <v>Publicidad y mercadeo</v>
      </c>
      <c r="D177" s="124" t="str">
        <f>'PPTO 2027'!$D$37</f>
        <v>Gasto</v>
      </c>
      <c r="E177" s="124" t="str">
        <f>'PPTO 2027'!$F$37</f>
        <v>IPC</v>
      </c>
      <c r="F177" s="124" t="str">
        <f>CHOOSE(8,"Ene","Feb","Mar","Abr","May","Jun","Jul","Ago","Sep","Oct","Nov","Dic")</f>
        <v>Ago</v>
      </c>
      <c r="G177" s="124">
        <v>8</v>
      </c>
      <c r="H177" s="124">
        <f>'PPTO 2027'!$P$37</f>
        <v>20000000</v>
      </c>
      <c r="I177" s="124">
        <f>'PPTO 2027'!$AC$37</f>
        <v>27039999.999999996</v>
      </c>
      <c r="J177" s="124">
        <f t="shared" si="6"/>
        <v>7039999.9999999963</v>
      </c>
      <c r="K177" s="124">
        <f t="shared" si="7"/>
        <v>7039999.9999999963</v>
      </c>
      <c r="L177" s="124">
        <f t="shared" si="8"/>
        <v>0.35199999999999981</v>
      </c>
      <c r="M177" s="124">
        <f>IFERROR(INDEX(tReal27[[Ene]:[Dic]],MATCH(C177,tReal27[Cuenta],0),8),0)</f>
        <v>29596000</v>
      </c>
    </row>
    <row r="178" spans="1:13" x14ac:dyDescent="0.4">
      <c r="A178" s="124" t="str">
        <f>'PPTO 2027'!$E$37</f>
        <v>Comercial</v>
      </c>
      <c r="B178" s="124" t="str">
        <f>'PPTO 2027'!$C$37</f>
        <v>Gastos de ventas</v>
      </c>
      <c r="C178" s="124" t="str">
        <f>'PPTO 2027'!$B$37</f>
        <v>Publicidad y mercadeo</v>
      </c>
      <c r="D178" s="124" t="str">
        <f>'PPTO 2027'!$D$37</f>
        <v>Gasto</v>
      </c>
      <c r="E178" s="124" t="str">
        <f>'PPTO 2027'!$F$37</f>
        <v>IPC</v>
      </c>
      <c r="F178" s="124" t="str">
        <f>CHOOSE(9,"Ene","Feb","Mar","Abr","May","Jun","Jul","Ago","Sep","Oct","Nov","Dic")</f>
        <v>Sep</v>
      </c>
      <c r="G178" s="124">
        <v>9</v>
      </c>
      <c r="H178" s="124">
        <f>'PPTO 2027'!$Q$37</f>
        <v>20000000</v>
      </c>
      <c r="I178" s="124">
        <f>'PPTO 2027'!$AD$37</f>
        <v>27039999.999999996</v>
      </c>
      <c r="J178" s="124">
        <f t="shared" si="6"/>
        <v>7039999.9999999963</v>
      </c>
      <c r="K178" s="124">
        <f t="shared" si="7"/>
        <v>7039999.9999999963</v>
      </c>
      <c r="L178" s="124">
        <f t="shared" si="8"/>
        <v>0.35199999999999981</v>
      </c>
      <c r="M178" s="124">
        <f>IFERROR(INDEX(tReal27[[Ene]:[Dic]],MATCH(C178,tReal27[Cuenta],0),9),0)</f>
        <v>29407000</v>
      </c>
    </row>
    <row r="179" spans="1:13" x14ac:dyDescent="0.4">
      <c r="A179" s="124" t="str">
        <f>'PPTO 2027'!$E$37</f>
        <v>Comercial</v>
      </c>
      <c r="B179" s="124" t="str">
        <f>'PPTO 2027'!$C$37</f>
        <v>Gastos de ventas</v>
      </c>
      <c r="C179" s="124" t="str">
        <f>'PPTO 2027'!$B$37</f>
        <v>Publicidad y mercadeo</v>
      </c>
      <c r="D179" s="124" t="str">
        <f>'PPTO 2027'!$D$37</f>
        <v>Gasto</v>
      </c>
      <c r="E179" s="124" t="str">
        <f>'PPTO 2027'!$F$37</f>
        <v>IPC</v>
      </c>
      <c r="F179" s="124" t="str">
        <f>CHOOSE(10,"Ene","Feb","Mar","Abr","May","Jun","Jul","Ago","Sep","Oct","Nov","Dic")</f>
        <v>Oct</v>
      </c>
      <c r="G179" s="124">
        <v>10</v>
      </c>
      <c r="H179" s="124">
        <f>'PPTO 2027'!$R$37</f>
        <v>20000000</v>
      </c>
      <c r="I179" s="124">
        <f>'PPTO 2027'!$AE$37</f>
        <v>27039999.999999996</v>
      </c>
      <c r="J179" s="124">
        <f t="shared" si="6"/>
        <v>7039999.9999999963</v>
      </c>
      <c r="K179" s="124">
        <f t="shared" si="7"/>
        <v>7039999.9999999963</v>
      </c>
      <c r="L179" s="124">
        <f t="shared" si="8"/>
        <v>0.35199999999999981</v>
      </c>
      <c r="M179" s="124">
        <f>IFERROR(INDEX(tReal27[[Ene]:[Dic]],MATCH(C179,tReal27[Cuenta],0),10),0)</f>
        <v>30161000</v>
      </c>
    </row>
    <row r="180" spans="1:13" x14ac:dyDescent="0.4">
      <c r="A180" s="124" t="str">
        <f>'PPTO 2027'!$E$37</f>
        <v>Comercial</v>
      </c>
      <c r="B180" s="124" t="str">
        <f>'PPTO 2027'!$C$37</f>
        <v>Gastos de ventas</v>
      </c>
      <c r="C180" s="124" t="str">
        <f>'PPTO 2027'!$B$37</f>
        <v>Publicidad y mercadeo</v>
      </c>
      <c r="D180" s="124" t="str">
        <f>'PPTO 2027'!$D$37</f>
        <v>Gasto</v>
      </c>
      <c r="E180" s="124" t="str">
        <f>'PPTO 2027'!$F$37</f>
        <v>IPC</v>
      </c>
      <c r="F180" s="124" t="str">
        <f>CHOOSE(11,"Ene","Feb","Mar","Abr","May","Jun","Jul","Ago","Sep","Oct","Nov","Dic")</f>
        <v>Nov</v>
      </c>
      <c r="G180" s="124">
        <v>11</v>
      </c>
      <c r="H180" s="124">
        <f>'PPTO 2027'!$S$37</f>
        <v>20000000</v>
      </c>
      <c r="I180" s="124">
        <f>'PPTO 2027'!$AF$37</f>
        <v>27039999.999999996</v>
      </c>
      <c r="J180" s="124">
        <f t="shared" si="6"/>
        <v>7039999.9999999963</v>
      </c>
      <c r="K180" s="124">
        <f t="shared" si="7"/>
        <v>7039999.9999999963</v>
      </c>
      <c r="L180" s="124">
        <f t="shared" si="8"/>
        <v>0.35199999999999981</v>
      </c>
      <c r="M180" s="124">
        <f>IFERROR(INDEX(tReal27[[Ene]:[Dic]],MATCH(C180,tReal27[Cuenta],0),11),0)</f>
        <v>29506000</v>
      </c>
    </row>
    <row r="181" spans="1:13" x14ac:dyDescent="0.4">
      <c r="A181" s="124" t="str">
        <f>'PPTO 2027'!$E$37</f>
        <v>Comercial</v>
      </c>
      <c r="B181" s="124" t="str">
        <f>'PPTO 2027'!$C$37</f>
        <v>Gastos de ventas</v>
      </c>
      <c r="C181" s="124" t="str">
        <f>'PPTO 2027'!$B$37</f>
        <v>Publicidad y mercadeo</v>
      </c>
      <c r="D181" s="124" t="str">
        <f>'PPTO 2027'!$D$37</f>
        <v>Gasto</v>
      </c>
      <c r="E181" s="124" t="str">
        <f>'PPTO 2027'!$F$37</f>
        <v>IPC</v>
      </c>
      <c r="F181" s="124" t="str">
        <f>CHOOSE(12,"Ene","Feb","Mar","Abr","May","Jun","Jul","Ago","Sep","Oct","Nov","Dic")</f>
        <v>Dic</v>
      </c>
      <c r="G181" s="124">
        <v>12</v>
      </c>
      <c r="H181" s="124">
        <f>'PPTO 2027'!$T$37</f>
        <v>20000000</v>
      </c>
      <c r="I181" s="124">
        <f>'PPTO 2027'!$AG$37</f>
        <v>27039999.999999996</v>
      </c>
      <c r="J181" s="124">
        <f t="shared" si="6"/>
        <v>7039999.9999999963</v>
      </c>
      <c r="K181" s="124">
        <f t="shared" si="7"/>
        <v>7039999.9999999963</v>
      </c>
      <c r="L181" s="124">
        <f t="shared" si="8"/>
        <v>0.35199999999999981</v>
      </c>
      <c r="M181" s="124">
        <f>IFERROR(INDEX(tReal27[[Ene]:[Dic]],MATCH(C181,tReal27[Cuenta],0),12),0)</f>
        <v>29543000</v>
      </c>
    </row>
    <row r="182" spans="1:13" x14ac:dyDescent="0.4">
      <c r="A182" s="124" t="str">
        <f>'PPTO 2027'!$E$38</f>
        <v>Operaciones</v>
      </c>
      <c r="B182" s="124" t="str">
        <f>'PPTO 2027'!$C$38</f>
        <v>Gastos de ventas</v>
      </c>
      <c r="C182" s="124" t="str">
        <f>'PPTO 2027'!$B$38</f>
        <v>Transporte y distribución</v>
      </c>
      <c r="D182" s="124" t="str">
        <f>'PPTO 2027'!$D$38</f>
        <v>Gasto</v>
      </c>
      <c r="E182" s="124" t="str">
        <f>'PPTO 2027'!$F$38</f>
        <v>Volumen</v>
      </c>
      <c r="F182" s="124" t="str">
        <f>CHOOSE(1,"Ene","Feb","Mar","Abr","May","Jun","Jul","Ago","Sep","Oct","Nov","Dic")</f>
        <v>Ene</v>
      </c>
      <c r="G182" s="124">
        <v>1</v>
      </c>
      <c r="H182" s="124">
        <f>'PPTO 2027'!$I$38</f>
        <v>20000000</v>
      </c>
      <c r="I182" s="124">
        <f>'PPTO 2027'!$V$38</f>
        <v>21200000</v>
      </c>
      <c r="J182" s="124">
        <f t="shared" si="6"/>
        <v>1200000</v>
      </c>
      <c r="K182" s="124">
        <f t="shared" si="7"/>
        <v>1200000</v>
      </c>
      <c r="L182" s="124">
        <f t="shared" si="8"/>
        <v>0.06</v>
      </c>
      <c r="M182" s="124">
        <f>IFERROR(INDEX(tReal27[[Ene]:[Dic]],MATCH(C182,tReal27[Cuenta],0),1),0)</f>
        <v>21133000</v>
      </c>
    </row>
    <row r="183" spans="1:13" x14ac:dyDescent="0.4">
      <c r="A183" s="124" t="str">
        <f>'PPTO 2027'!$E$38</f>
        <v>Operaciones</v>
      </c>
      <c r="B183" s="124" t="str">
        <f>'PPTO 2027'!$C$38</f>
        <v>Gastos de ventas</v>
      </c>
      <c r="C183" s="124" t="str">
        <f>'PPTO 2027'!$B$38</f>
        <v>Transporte y distribución</v>
      </c>
      <c r="D183" s="124" t="str">
        <f>'PPTO 2027'!$D$38</f>
        <v>Gasto</v>
      </c>
      <c r="E183" s="124" t="str">
        <f>'PPTO 2027'!$F$38</f>
        <v>Volumen</v>
      </c>
      <c r="F183" s="124" t="str">
        <f>CHOOSE(2,"Ene","Feb","Mar","Abr","May","Jun","Jul","Ago","Sep","Oct","Nov","Dic")</f>
        <v>Feb</v>
      </c>
      <c r="G183" s="124">
        <v>2</v>
      </c>
      <c r="H183" s="124">
        <f>'PPTO 2027'!$J$38</f>
        <v>21200000</v>
      </c>
      <c r="I183" s="124">
        <f>'PPTO 2027'!$W$38</f>
        <v>22472000</v>
      </c>
      <c r="J183" s="124">
        <f t="shared" si="6"/>
        <v>1272000</v>
      </c>
      <c r="K183" s="124">
        <f t="shared" si="7"/>
        <v>1272000</v>
      </c>
      <c r="L183" s="124">
        <f t="shared" si="8"/>
        <v>0.06</v>
      </c>
      <c r="M183" s="124">
        <f>IFERROR(INDEX(tReal27[[Ene]:[Dic]],MATCH(C183,tReal27[Cuenta],0),2),0)</f>
        <v>22730000</v>
      </c>
    </row>
    <row r="184" spans="1:13" x14ac:dyDescent="0.4">
      <c r="A184" s="124" t="str">
        <f>'PPTO 2027'!$E$38</f>
        <v>Operaciones</v>
      </c>
      <c r="B184" s="124" t="str">
        <f>'PPTO 2027'!$C$38</f>
        <v>Gastos de ventas</v>
      </c>
      <c r="C184" s="124" t="str">
        <f>'PPTO 2027'!$B$38</f>
        <v>Transporte y distribución</v>
      </c>
      <c r="D184" s="124" t="str">
        <f>'PPTO 2027'!$D$38</f>
        <v>Gasto</v>
      </c>
      <c r="E184" s="124" t="str">
        <f>'PPTO 2027'!$F$38</f>
        <v>Volumen</v>
      </c>
      <c r="F184" s="124" t="str">
        <f>CHOOSE(3,"Ene","Feb","Mar","Abr","May","Jun","Jul","Ago","Sep","Oct","Nov","Dic")</f>
        <v>Mar</v>
      </c>
      <c r="G184" s="124">
        <v>3</v>
      </c>
      <c r="H184" s="124">
        <f>'PPTO 2027'!$K$38</f>
        <v>23800000</v>
      </c>
      <c r="I184" s="124">
        <f>'PPTO 2027'!$X$38</f>
        <v>25228000</v>
      </c>
      <c r="J184" s="124">
        <f t="shared" si="6"/>
        <v>1428000</v>
      </c>
      <c r="K184" s="124">
        <f t="shared" si="7"/>
        <v>1428000</v>
      </c>
      <c r="L184" s="124">
        <f t="shared" si="8"/>
        <v>0.06</v>
      </c>
      <c r="M184" s="124">
        <f>IFERROR(INDEX(tReal27[[Ene]:[Dic]],MATCH(C184,tReal27[Cuenta],0),3),0)</f>
        <v>25324000</v>
      </c>
    </row>
    <row r="185" spans="1:13" x14ac:dyDescent="0.4">
      <c r="A185" s="124" t="str">
        <f>'PPTO 2027'!$E$38</f>
        <v>Operaciones</v>
      </c>
      <c r="B185" s="124" t="str">
        <f>'PPTO 2027'!$C$38</f>
        <v>Gastos de ventas</v>
      </c>
      <c r="C185" s="124" t="str">
        <f>'PPTO 2027'!$B$38</f>
        <v>Transporte y distribución</v>
      </c>
      <c r="D185" s="124" t="str">
        <f>'PPTO 2027'!$D$38</f>
        <v>Gasto</v>
      </c>
      <c r="E185" s="124" t="str">
        <f>'PPTO 2027'!$F$38</f>
        <v>Volumen</v>
      </c>
      <c r="F185" s="124" t="str">
        <f>CHOOSE(4,"Ene","Feb","Mar","Abr","May","Jun","Jul","Ago","Sep","Oct","Nov","Dic")</f>
        <v>Abr</v>
      </c>
      <c r="G185" s="124">
        <v>4</v>
      </c>
      <c r="H185" s="124">
        <f>'PPTO 2027'!$L$38</f>
        <v>23800000</v>
      </c>
      <c r="I185" s="124">
        <f>'PPTO 2027'!$Y$38</f>
        <v>25228000</v>
      </c>
      <c r="J185" s="124">
        <f t="shared" si="6"/>
        <v>1428000</v>
      </c>
      <c r="K185" s="124">
        <f t="shared" si="7"/>
        <v>1428000</v>
      </c>
      <c r="L185" s="124">
        <f t="shared" si="8"/>
        <v>0.06</v>
      </c>
      <c r="M185" s="124">
        <f>IFERROR(INDEX(tReal27[[Ene]:[Dic]],MATCH(C185,tReal27[Cuenta],0),4),0)</f>
        <v>25080000</v>
      </c>
    </row>
    <row r="186" spans="1:13" x14ac:dyDescent="0.4">
      <c r="A186" s="124" t="str">
        <f>'PPTO 2027'!$E$38</f>
        <v>Operaciones</v>
      </c>
      <c r="B186" s="124" t="str">
        <f>'PPTO 2027'!$C$38</f>
        <v>Gastos de ventas</v>
      </c>
      <c r="C186" s="124" t="str">
        <f>'PPTO 2027'!$B$38</f>
        <v>Transporte y distribución</v>
      </c>
      <c r="D186" s="124" t="str">
        <f>'PPTO 2027'!$D$38</f>
        <v>Gasto</v>
      </c>
      <c r="E186" s="124" t="str">
        <f>'PPTO 2027'!$F$38</f>
        <v>Volumen</v>
      </c>
      <c r="F186" s="124" t="str">
        <f>CHOOSE(5,"Ene","Feb","Mar","Abr","May","Jun","Jul","Ago","Sep","Oct","Nov","Dic")</f>
        <v>May</v>
      </c>
      <c r="G186" s="124">
        <v>5</v>
      </c>
      <c r="H186" s="124">
        <f>'PPTO 2027'!$M$38</f>
        <v>25000000</v>
      </c>
      <c r="I186" s="124">
        <f>'PPTO 2027'!$Z$38</f>
        <v>26500000</v>
      </c>
      <c r="J186" s="124">
        <f t="shared" si="6"/>
        <v>1500000</v>
      </c>
      <c r="K186" s="124">
        <f t="shared" si="7"/>
        <v>1500000</v>
      </c>
      <c r="L186" s="124">
        <f t="shared" si="8"/>
        <v>0.06</v>
      </c>
      <c r="M186" s="124">
        <f>IFERROR(INDEX(tReal27[[Ene]:[Dic]],MATCH(C186,tReal27[Cuenta],0),5),0)</f>
        <v>26498000</v>
      </c>
    </row>
    <row r="187" spans="1:13" x14ac:dyDescent="0.4">
      <c r="A187" s="124" t="str">
        <f>'PPTO 2027'!$E$38</f>
        <v>Operaciones</v>
      </c>
      <c r="B187" s="124" t="str">
        <f>'PPTO 2027'!$C$38</f>
        <v>Gastos de ventas</v>
      </c>
      <c r="C187" s="124" t="str">
        <f>'PPTO 2027'!$B$38</f>
        <v>Transporte y distribución</v>
      </c>
      <c r="D187" s="124" t="str">
        <f>'PPTO 2027'!$D$38</f>
        <v>Gasto</v>
      </c>
      <c r="E187" s="124" t="str">
        <f>'PPTO 2027'!$F$38</f>
        <v>Volumen</v>
      </c>
      <c r="F187" s="124" t="str">
        <f>CHOOSE(6,"Ene","Feb","Mar","Abr","May","Jun","Jul","Ago","Sep","Oct","Nov","Dic")</f>
        <v>Jun</v>
      </c>
      <c r="G187" s="124">
        <v>6</v>
      </c>
      <c r="H187" s="124">
        <f>'PPTO 2027'!$N$38</f>
        <v>25000000</v>
      </c>
      <c r="I187" s="124">
        <f>'PPTO 2027'!$AA$38</f>
        <v>26500000</v>
      </c>
      <c r="J187" s="124">
        <f t="shared" si="6"/>
        <v>1500000</v>
      </c>
      <c r="K187" s="124">
        <f t="shared" si="7"/>
        <v>1500000</v>
      </c>
      <c r="L187" s="124">
        <f t="shared" si="8"/>
        <v>0.06</v>
      </c>
      <c r="M187" s="124">
        <f>IFERROR(INDEX(tReal27[[Ene]:[Dic]],MATCH(C187,tReal27[Cuenta],0),6),0)</f>
        <v>26669000</v>
      </c>
    </row>
    <row r="188" spans="1:13" x14ac:dyDescent="0.4">
      <c r="A188" s="124" t="str">
        <f>'PPTO 2027'!$E$38</f>
        <v>Operaciones</v>
      </c>
      <c r="B188" s="124" t="str">
        <f>'PPTO 2027'!$C$38</f>
        <v>Gastos de ventas</v>
      </c>
      <c r="C188" s="124" t="str">
        <f>'PPTO 2027'!$B$38</f>
        <v>Transporte y distribución</v>
      </c>
      <c r="D188" s="124" t="str">
        <f>'PPTO 2027'!$D$38</f>
        <v>Gasto</v>
      </c>
      <c r="E188" s="124" t="str">
        <f>'PPTO 2027'!$F$38</f>
        <v>Volumen</v>
      </c>
      <c r="F188" s="124" t="str">
        <f>CHOOSE(7,"Ene","Feb","Mar","Abr","May","Jun","Jul","Ago","Sep","Oct","Nov","Dic")</f>
        <v>Jul</v>
      </c>
      <c r="G188" s="124">
        <v>7</v>
      </c>
      <c r="H188" s="124">
        <f>'PPTO 2027'!$O$38</f>
        <v>25000000</v>
      </c>
      <c r="I188" s="124">
        <f>'PPTO 2027'!$AB$38</f>
        <v>26500000</v>
      </c>
      <c r="J188" s="124">
        <f t="shared" si="6"/>
        <v>1500000</v>
      </c>
      <c r="K188" s="124">
        <f t="shared" si="7"/>
        <v>1500000</v>
      </c>
      <c r="L188" s="124">
        <f t="shared" si="8"/>
        <v>0.06</v>
      </c>
      <c r="M188" s="124">
        <f>IFERROR(INDEX(tReal27[[Ene]:[Dic]],MATCH(C188,tReal27[Cuenta],0),7),0)</f>
        <v>25842000</v>
      </c>
    </row>
    <row r="189" spans="1:13" x14ac:dyDescent="0.4">
      <c r="A189" s="124" t="str">
        <f>'PPTO 2027'!$E$38</f>
        <v>Operaciones</v>
      </c>
      <c r="B189" s="124" t="str">
        <f>'PPTO 2027'!$C$38</f>
        <v>Gastos de ventas</v>
      </c>
      <c r="C189" s="124" t="str">
        <f>'PPTO 2027'!$B$38</f>
        <v>Transporte y distribución</v>
      </c>
      <c r="D189" s="124" t="str">
        <f>'PPTO 2027'!$D$38</f>
        <v>Gasto</v>
      </c>
      <c r="E189" s="124" t="str">
        <f>'PPTO 2027'!$F$38</f>
        <v>Volumen</v>
      </c>
      <c r="F189" s="124" t="str">
        <f>CHOOSE(8,"Ene","Feb","Mar","Abr","May","Jun","Jul","Ago","Sep","Oct","Nov","Dic")</f>
        <v>Ago</v>
      </c>
      <c r="G189" s="124">
        <v>8</v>
      </c>
      <c r="H189" s="124">
        <f>'PPTO 2027'!$P$38</f>
        <v>26200000</v>
      </c>
      <c r="I189" s="124">
        <f>'PPTO 2027'!$AC$38</f>
        <v>27772000</v>
      </c>
      <c r="J189" s="124">
        <f t="shared" si="6"/>
        <v>1572000</v>
      </c>
      <c r="K189" s="124">
        <f t="shared" si="7"/>
        <v>1572000</v>
      </c>
      <c r="L189" s="124">
        <f t="shared" si="8"/>
        <v>0.06</v>
      </c>
      <c r="M189" s="124">
        <f>IFERROR(INDEX(tReal27[[Ene]:[Dic]],MATCH(C189,tReal27[Cuenta],0),8),0)</f>
        <v>27921000</v>
      </c>
    </row>
    <row r="190" spans="1:13" x14ac:dyDescent="0.4">
      <c r="A190" s="124" t="str">
        <f>'PPTO 2027'!$E$38</f>
        <v>Operaciones</v>
      </c>
      <c r="B190" s="124" t="str">
        <f>'PPTO 2027'!$C$38</f>
        <v>Gastos de ventas</v>
      </c>
      <c r="C190" s="124" t="str">
        <f>'PPTO 2027'!$B$38</f>
        <v>Transporte y distribución</v>
      </c>
      <c r="D190" s="124" t="str">
        <f>'PPTO 2027'!$D$38</f>
        <v>Gasto</v>
      </c>
      <c r="E190" s="124" t="str">
        <f>'PPTO 2027'!$F$38</f>
        <v>Volumen</v>
      </c>
      <c r="F190" s="124" t="str">
        <f>CHOOSE(9,"Ene","Feb","Mar","Abr","May","Jun","Jul","Ago","Sep","Oct","Nov","Dic")</f>
        <v>Sep</v>
      </c>
      <c r="G190" s="124">
        <v>9</v>
      </c>
      <c r="H190" s="124">
        <f>'PPTO 2027'!$Q$38</f>
        <v>25000000</v>
      </c>
      <c r="I190" s="124">
        <f>'PPTO 2027'!$AD$38</f>
        <v>26500000</v>
      </c>
      <c r="J190" s="124">
        <f t="shared" si="6"/>
        <v>1500000</v>
      </c>
      <c r="K190" s="124">
        <f t="shared" si="7"/>
        <v>1500000</v>
      </c>
      <c r="L190" s="124">
        <f t="shared" si="8"/>
        <v>0.06</v>
      </c>
      <c r="M190" s="124">
        <f>IFERROR(INDEX(tReal27[[Ene]:[Dic]],MATCH(C190,tReal27[Cuenta],0),9),0)</f>
        <v>26759000</v>
      </c>
    </row>
    <row r="191" spans="1:13" x14ac:dyDescent="0.4">
      <c r="A191" s="124" t="str">
        <f>'PPTO 2027'!$E$38</f>
        <v>Operaciones</v>
      </c>
      <c r="B191" s="124" t="str">
        <f>'PPTO 2027'!$C$38</f>
        <v>Gastos de ventas</v>
      </c>
      <c r="C191" s="124" t="str">
        <f>'PPTO 2027'!$B$38</f>
        <v>Transporte y distribución</v>
      </c>
      <c r="D191" s="124" t="str">
        <f>'PPTO 2027'!$D$38</f>
        <v>Gasto</v>
      </c>
      <c r="E191" s="124" t="str">
        <f>'PPTO 2027'!$F$38</f>
        <v>Volumen</v>
      </c>
      <c r="F191" s="124" t="str">
        <f>CHOOSE(10,"Ene","Feb","Mar","Abr","May","Jun","Jul","Ago","Sep","Oct","Nov","Dic")</f>
        <v>Oct</v>
      </c>
      <c r="G191" s="124">
        <v>10</v>
      </c>
      <c r="H191" s="124">
        <f>'PPTO 2027'!$R$38</f>
        <v>26200000</v>
      </c>
      <c r="I191" s="124">
        <f>'PPTO 2027'!$AE$38</f>
        <v>27772000</v>
      </c>
      <c r="J191" s="124">
        <f t="shared" si="6"/>
        <v>1572000</v>
      </c>
      <c r="K191" s="124">
        <f t="shared" si="7"/>
        <v>1572000</v>
      </c>
      <c r="L191" s="124">
        <f t="shared" si="8"/>
        <v>0.06</v>
      </c>
      <c r="M191" s="124">
        <f>IFERROR(INDEX(tReal27[[Ene]:[Dic]],MATCH(C191,tReal27[Cuenta],0),10),0)</f>
        <v>28096000</v>
      </c>
    </row>
    <row r="192" spans="1:13" x14ac:dyDescent="0.4">
      <c r="A192" s="124" t="str">
        <f>'PPTO 2027'!$E$38</f>
        <v>Operaciones</v>
      </c>
      <c r="B192" s="124" t="str">
        <f>'PPTO 2027'!$C$38</f>
        <v>Gastos de ventas</v>
      </c>
      <c r="C192" s="124" t="str">
        <f>'PPTO 2027'!$B$38</f>
        <v>Transporte y distribución</v>
      </c>
      <c r="D192" s="124" t="str">
        <f>'PPTO 2027'!$D$38</f>
        <v>Gasto</v>
      </c>
      <c r="E192" s="124" t="str">
        <f>'PPTO 2027'!$F$38</f>
        <v>Volumen</v>
      </c>
      <c r="F192" s="124" t="str">
        <f>CHOOSE(11,"Ene","Feb","Mar","Abr","May","Jun","Jul","Ago","Sep","Oct","Nov","Dic")</f>
        <v>Nov</v>
      </c>
      <c r="G192" s="124">
        <v>11</v>
      </c>
      <c r="H192" s="124">
        <f>'PPTO 2027'!$S$38</f>
        <v>28800000</v>
      </c>
      <c r="I192" s="124">
        <f>'PPTO 2027'!$AF$38</f>
        <v>30528000</v>
      </c>
      <c r="J192" s="124">
        <f t="shared" si="6"/>
        <v>1728000</v>
      </c>
      <c r="K192" s="124">
        <f t="shared" si="7"/>
        <v>1728000</v>
      </c>
      <c r="L192" s="124">
        <f t="shared" si="8"/>
        <v>0.06</v>
      </c>
      <c r="M192" s="124">
        <f>IFERROR(INDEX(tReal27[[Ene]:[Dic]],MATCH(C192,tReal27[Cuenta],0),11),0)</f>
        <v>30186000</v>
      </c>
    </row>
    <row r="193" spans="1:13" x14ac:dyDescent="0.4">
      <c r="A193" s="124" t="str">
        <f>'PPTO 2027'!$E$38</f>
        <v>Operaciones</v>
      </c>
      <c r="B193" s="124" t="str">
        <f>'PPTO 2027'!$C$38</f>
        <v>Gastos de ventas</v>
      </c>
      <c r="C193" s="124" t="str">
        <f>'PPTO 2027'!$B$38</f>
        <v>Transporte y distribución</v>
      </c>
      <c r="D193" s="124" t="str">
        <f>'PPTO 2027'!$D$38</f>
        <v>Gasto</v>
      </c>
      <c r="E193" s="124" t="str">
        <f>'PPTO 2027'!$F$38</f>
        <v>Volumen</v>
      </c>
      <c r="F193" s="124" t="str">
        <f>CHOOSE(12,"Ene","Feb","Mar","Abr","May","Jun","Jul","Ago","Sep","Oct","Nov","Dic")</f>
        <v>Dic</v>
      </c>
      <c r="G193" s="124">
        <v>12</v>
      </c>
      <c r="H193" s="124">
        <f>'PPTO 2027'!$T$38</f>
        <v>30000000</v>
      </c>
      <c r="I193" s="124">
        <f>'PPTO 2027'!$AG$38</f>
        <v>31800000</v>
      </c>
      <c r="J193" s="124">
        <f t="shared" si="6"/>
        <v>1800000</v>
      </c>
      <c r="K193" s="124">
        <f t="shared" si="7"/>
        <v>1800000</v>
      </c>
      <c r="L193" s="124">
        <f t="shared" si="8"/>
        <v>0.06</v>
      </c>
      <c r="M193" s="124">
        <f>IFERROR(INDEX(tReal27[[Ene]:[Dic]],MATCH(C193,tReal27[Cuenta],0),12),0)</f>
        <v>31595000</v>
      </c>
    </row>
    <row r="194" spans="1:13" x14ac:dyDescent="0.4">
      <c r="A194" s="124" t="str">
        <f>'PPTO 2027'!$E$39</f>
        <v>Operaciones</v>
      </c>
      <c r="B194" s="124" t="str">
        <f>'PPTO 2027'!$C$39</f>
        <v>Gastos de ventas</v>
      </c>
      <c r="C194" s="124" t="str">
        <f>'PPTO 2027'!$B$39</f>
        <v>Nómina de bodega</v>
      </c>
      <c r="D194" s="124" t="str">
        <f>'PPTO 2027'!$D$39</f>
        <v>Gasto</v>
      </c>
      <c r="E194" s="124" t="str">
        <f>'PPTO 2027'!$F$39</f>
        <v>Nómina</v>
      </c>
      <c r="F194" s="124" t="str">
        <f>CHOOSE(1,"Ene","Feb","Mar","Abr","May","Jun","Jul","Ago","Sep","Oct","Nov","Dic")</f>
        <v>Ene</v>
      </c>
      <c r="G194" s="124">
        <v>1</v>
      </c>
      <c r="H194" s="124">
        <f>'PPTO 2027'!$I$39</f>
        <v>31700000</v>
      </c>
      <c r="I194" s="124">
        <f>'PPTO 2027'!$V$39</f>
        <v>33919000</v>
      </c>
      <c r="J194" s="124">
        <f t="shared" ref="J194:J257" si="9">I194-H194</f>
        <v>2219000</v>
      </c>
      <c r="K194" s="124">
        <f t="shared" ref="K194:K257" si="10">ABS(J194)</f>
        <v>2219000</v>
      </c>
      <c r="L194" s="124">
        <f t="shared" ref="L194:L257" si="11">IF(H194=0,"",J194/H194)</f>
        <v>7.0000000000000007E-2</v>
      </c>
      <c r="M194" s="124">
        <f>IFERROR(INDEX(tReal27[[Ene]:[Dic]],MATCH(C194,tReal27[Cuenta],0),1),0)</f>
        <v>34354000</v>
      </c>
    </row>
    <row r="195" spans="1:13" x14ac:dyDescent="0.4">
      <c r="A195" s="124" t="str">
        <f>'PPTO 2027'!$E$39</f>
        <v>Operaciones</v>
      </c>
      <c r="B195" s="124" t="str">
        <f>'PPTO 2027'!$C$39</f>
        <v>Gastos de ventas</v>
      </c>
      <c r="C195" s="124" t="str">
        <f>'PPTO 2027'!$B$39</f>
        <v>Nómina de bodega</v>
      </c>
      <c r="D195" s="124" t="str">
        <f>'PPTO 2027'!$D$39</f>
        <v>Gasto</v>
      </c>
      <c r="E195" s="124" t="str">
        <f>'PPTO 2027'!$F$39</f>
        <v>Nómina</v>
      </c>
      <c r="F195" s="124" t="str">
        <f>CHOOSE(2,"Ene","Feb","Mar","Abr","May","Jun","Jul","Ago","Sep","Oct","Nov","Dic")</f>
        <v>Feb</v>
      </c>
      <c r="G195" s="124">
        <v>2</v>
      </c>
      <c r="H195" s="124">
        <f>'PPTO 2027'!$J$39</f>
        <v>31700000</v>
      </c>
      <c r="I195" s="124">
        <f>'PPTO 2027'!$W$39</f>
        <v>33919000</v>
      </c>
      <c r="J195" s="124">
        <f t="shared" si="9"/>
        <v>2219000</v>
      </c>
      <c r="K195" s="124">
        <f t="shared" si="10"/>
        <v>2219000</v>
      </c>
      <c r="L195" s="124">
        <f t="shared" si="11"/>
        <v>7.0000000000000007E-2</v>
      </c>
      <c r="M195" s="124">
        <f>IFERROR(INDEX(tReal27[[Ene]:[Dic]],MATCH(C195,tReal27[Cuenta],0),2),0)</f>
        <v>33469000</v>
      </c>
    </row>
    <row r="196" spans="1:13" x14ac:dyDescent="0.4">
      <c r="A196" s="124" t="str">
        <f>'PPTO 2027'!$E$39</f>
        <v>Operaciones</v>
      </c>
      <c r="B196" s="124" t="str">
        <f>'PPTO 2027'!$C$39</f>
        <v>Gastos de ventas</v>
      </c>
      <c r="C196" s="124" t="str">
        <f>'PPTO 2027'!$B$39</f>
        <v>Nómina de bodega</v>
      </c>
      <c r="D196" s="124" t="str">
        <f>'PPTO 2027'!$D$39</f>
        <v>Gasto</v>
      </c>
      <c r="E196" s="124" t="str">
        <f>'PPTO 2027'!$F$39</f>
        <v>Nómina</v>
      </c>
      <c r="F196" s="124" t="str">
        <f>CHOOSE(3,"Ene","Feb","Mar","Abr","May","Jun","Jul","Ago","Sep","Oct","Nov","Dic")</f>
        <v>Mar</v>
      </c>
      <c r="G196" s="124">
        <v>3</v>
      </c>
      <c r="H196" s="124">
        <f>'PPTO 2027'!$K$39</f>
        <v>31700000</v>
      </c>
      <c r="I196" s="124">
        <f>'PPTO 2027'!$X$39</f>
        <v>33919000</v>
      </c>
      <c r="J196" s="124">
        <f t="shared" si="9"/>
        <v>2219000</v>
      </c>
      <c r="K196" s="124">
        <f t="shared" si="10"/>
        <v>2219000</v>
      </c>
      <c r="L196" s="124">
        <f t="shared" si="11"/>
        <v>7.0000000000000007E-2</v>
      </c>
      <c r="M196" s="124">
        <f>IFERROR(INDEX(tReal27[[Ene]:[Dic]],MATCH(C196,tReal27[Cuenta],0),3),0)</f>
        <v>34070000</v>
      </c>
    </row>
    <row r="197" spans="1:13" x14ac:dyDescent="0.4">
      <c r="A197" s="124" t="str">
        <f>'PPTO 2027'!$E$39</f>
        <v>Operaciones</v>
      </c>
      <c r="B197" s="124" t="str">
        <f>'PPTO 2027'!$C$39</f>
        <v>Gastos de ventas</v>
      </c>
      <c r="C197" s="124" t="str">
        <f>'PPTO 2027'!$B$39</f>
        <v>Nómina de bodega</v>
      </c>
      <c r="D197" s="124" t="str">
        <f>'PPTO 2027'!$D$39</f>
        <v>Gasto</v>
      </c>
      <c r="E197" s="124" t="str">
        <f>'PPTO 2027'!$F$39</f>
        <v>Nómina</v>
      </c>
      <c r="F197" s="124" t="str">
        <f>CHOOSE(4,"Ene","Feb","Mar","Abr","May","Jun","Jul","Ago","Sep","Oct","Nov","Dic")</f>
        <v>Abr</v>
      </c>
      <c r="G197" s="124">
        <v>4</v>
      </c>
      <c r="H197" s="124">
        <f>'PPTO 2027'!$L$39</f>
        <v>31700000</v>
      </c>
      <c r="I197" s="124">
        <f>'PPTO 2027'!$Y$39</f>
        <v>33919000</v>
      </c>
      <c r="J197" s="124">
        <f t="shared" si="9"/>
        <v>2219000</v>
      </c>
      <c r="K197" s="124">
        <f t="shared" si="10"/>
        <v>2219000</v>
      </c>
      <c r="L197" s="124">
        <f t="shared" si="11"/>
        <v>7.0000000000000007E-2</v>
      </c>
      <c r="M197" s="124">
        <f>IFERROR(INDEX(tReal27[[Ene]:[Dic]],MATCH(C197,tReal27[Cuenta],0),4),0)</f>
        <v>34069000</v>
      </c>
    </row>
    <row r="198" spans="1:13" x14ac:dyDescent="0.4">
      <c r="A198" s="124" t="str">
        <f>'PPTO 2027'!$E$39</f>
        <v>Operaciones</v>
      </c>
      <c r="B198" s="124" t="str">
        <f>'PPTO 2027'!$C$39</f>
        <v>Gastos de ventas</v>
      </c>
      <c r="C198" s="124" t="str">
        <f>'PPTO 2027'!$B$39</f>
        <v>Nómina de bodega</v>
      </c>
      <c r="D198" s="124" t="str">
        <f>'PPTO 2027'!$D$39</f>
        <v>Gasto</v>
      </c>
      <c r="E198" s="124" t="str">
        <f>'PPTO 2027'!$F$39</f>
        <v>Nómina</v>
      </c>
      <c r="F198" s="124" t="str">
        <f>CHOOSE(5,"Ene","Feb","Mar","Abr","May","Jun","Jul","Ago","Sep","Oct","Nov","Dic")</f>
        <v>May</v>
      </c>
      <c r="G198" s="124">
        <v>5</v>
      </c>
      <c r="H198" s="124">
        <f>'PPTO 2027'!$M$39</f>
        <v>31700000</v>
      </c>
      <c r="I198" s="124">
        <f>'PPTO 2027'!$Z$39</f>
        <v>33919000</v>
      </c>
      <c r="J198" s="124">
        <f t="shared" si="9"/>
        <v>2219000</v>
      </c>
      <c r="K198" s="124">
        <f t="shared" si="10"/>
        <v>2219000</v>
      </c>
      <c r="L198" s="124">
        <f t="shared" si="11"/>
        <v>7.0000000000000007E-2</v>
      </c>
      <c r="M198" s="124">
        <f>IFERROR(INDEX(tReal27[[Ene]:[Dic]],MATCH(C198,tReal27[Cuenta],0),5),0)</f>
        <v>34295000</v>
      </c>
    </row>
    <row r="199" spans="1:13" x14ac:dyDescent="0.4">
      <c r="A199" s="124" t="str">
        <f>'PPTO 2027'!$E$39</f>
        <v>Operaciones</v>
      </c>
      <c r="B199" s="124" t="str">
        <f>'PPTO 2027'!$C$39</f>
        <v>Gastos de ventas</v>
      </c>
      <c r="C199" s="124" t="str">
        <f>'PPTO 2027'!$B$39</f>
        <v>Nómina de bodega</v>
      </c>
      <c r="D199" s="124" t="str">
        <f>'PPTO 2027'!$D$39</f>
        <v>Gasto</v>
      </c>
      <c r="E199" s="124" t="str">
        <f>'PPTO 2027'!$F$39</f>
        <v>Nómina</v>
      </c>
      <c r="F199" s="124" t="str">
        <f>CHOOSE(6,"Ene","Feb","Mar","Abr","May","Jun","Jul","Ago","Sep","Oct","Nov","Dic")</f>
        <v>Jun</v>
      </c>
      <c r="G199" s="124">
        <v>6</v>
      </c>
      <c r="H199" s="124">
        <f>'PPTO 2027'!$N$39</f>
        <v>31700000</v>
      </c>
      <c r="I199" s="124">
        <f>'PPTO 2027'!$AA$39</f>
        <v>33919000</v>
      </c>
      <c r="J199" s="124">
        <f t="shared" si="9"/>
        <v>2219000</v>
      </c>
      <c r="K199" s="124">
        <f t="shared" si="10"/>
        <v>2219000</v>
      </c>
      <c r="L199" s="124">
        <f t="shared" si="11"/>
        <v>7.0000000000000007E-2</v>
      </c>
      <c r="M199" s="124">
        <f>IFERROR(INDEX(tReal27[[Ene]:[Dic]],MATCH(C199,tReal27[Cuenta],0),6),0)</f>
        <v>33829000</v>
      </c>
    </row>
    <row r="200" spans="1:13" x14ac:dyDescent="0.4">
      <c r="A200" s="124" t="str">
        <f>'PPTO 2027'!$E$39</f>
        <v>Operaciones</v>
      </c>
      <c r="B200" s="124" t="str">
        <f>'PPTO 2027'!$C$39</f>
        <v>Gastos de ventas</v>
      </c>
      <c r="C200" s="124" t="str">
        <f>'PPTO 2027'!$B$39</f>
        <v>Nómina de bodega</v>
      </c>
      <c r="D200" s="124" t="str">
        <f>'PPTO 2027'!$D$39</f>
        <v>Gasto</v>
      </c>
      <c r="E200" s="124" t="str">
        <f>'PPTO 2027'!$F$39</f>
        <v>Nómina</v>
      </c>
      <c r="F200" s="124" t="str">
        <f>CHOOSE(7,"Ene","Feb","Mar","Abr","May","Jun","Jul","Ago","Sep","Oct","Nov","Dic")</f>
        <v>Jul</v>
      </c>
      <c r="G200" s="124">
        <v>7</v>
      </c>
      <c r="H200" s="124">
        <f>'PPTO 2027'!$O$39</f>
        <v>31700000</v>
      </c>
      <c r="I200" s="124">
        <f>'PPTO 2027'!$AB$39</f>
        <v>33919000</v>
      </c>
      <c r="J200" s="124">
        <f t="shared" si="9"/>
        <v>2219000</v>
      </c>
      <c r="K200" s="124">
        <f t="shared" si="10"/>
        <v>2219000</v>
      </c>
      <c r="L200" s="124">
        <f t="shared" si="11"/>
        <v>7.0000000000000007E-2</v>
      </c>
      <c r="M200" s="124">
        <f>IFERROR(INDEX(tReal27[[Ene]:[Dic]],MATCH(C200,tReal27[Cuenta],0),7),0)</f>
        <v>34227000</v>
      </c>
    </row>
    <row r="201" spans="1:13" x14ac:dyDescent="0.4">
      <c r="A201" s="124" t="str">
        <f>'PPTO 2027'!$E$39</f>
        <v>Operaciones</v>
      </c>
      <c r="B201" s="124" t="str">
        <f>'PPTO 2027'!$C$39</f>
        <v>Gastos de ventas</v>
      </c>
      <c r="C201" s="124" t="str">
        <f>'PPTO 2027'!$B$39</f>
        <v>Nómina de bodega</v>
      </c>
      <c r="D201" s="124" t="str">
        <f>'PPTO 2027'!$D$39</f>
        <v>Gasto</v>
      </c>
      <c r="E201" s="124" t="str">
        <f>'PPTO 2027'!$F$39</f>
        <v>Nómina</v>
      </c>
      <c r="F201" s="124" t="str">
        <f>CHOOSE(8,"Ene","Feb","Mar","Abr","May","Jun","Jul","Ago","Sep","Oct","Nov","Dic")</f>
        <v>Ago</v>
      </c>
      <c r="G201" s="124">
        <v>8</v>
      </c>
      <c r="H201" s="124">
        <f>'PPTO 2027'!$P$39</f>
        <v>31700000</v>
      </c>
      <c r="I201" s="124">
        <f>'PPTO 2027'!$AC$39</f>
        <v>33919000</v>
      </c>
      <c r="J201" s="124">
        <f t="shared" si="9"/>
        <v>2219000</v>
      </c>
      <c r="K201" s="124">
        <f t="shared" si="10"/>
        <v>2219000</v>
      </c>
      <c r="L201" s="124">
        <f t="shared" si="11"/>
        <v>7.0000000000000007E-2</v>
      </c>
      <c r="M201" s="124">
        <f>IFERROR(INDEX(tReal27[[Ene]:[Dic]],MATCH(C201,tReal27[Cuenta],0),8),0)</f>
        <v>34060000</v>
      </c>
    </row>
    <row r="202" spans="1:13" x14ac:dyDescent="0.4">
      <c r="A202" s="124" t="str">
        <f>'PPTO 2027'!$E$39</f>
        <v>Operaciones</v>
      </c>
      <c r="B202" s="124" t="str">
        <f>'PPTO 2027'!$C$39</f>
        <v>Gastos de ventas</v>
      </c>
      <c r="C202" s="124" t="str">
        <f>'PPTO 2027'!$B$39</f>
        <v>Nómina de bodega</v>
      </c>
      <c r="D202" s="124" t="str">
        <f>'PPTO 2027'!$D$39</f>
        <v>Gasto</v>
      </c>
      <c r="E202" s="124" t="str">
        <f>'PPTO 2027'!$F$39</f>
        <v>Nómina</v>
      </c>
      <c r="F202" s="124" t="str">
        <f>CHOOSE(9,"Ene","Feb","Mar","Abr","May","Jun","Jul","Ago","Sep","Oct","Nov","Dic")</f>
        <v>Sep</v>
      </c>
      <c r="G202" s="124">
        <v>9</v>
      </c>
      <c r="H202" s="124">
        <f>'PPTO 2027'!$Q$39</f>
        <v>31700000</v>
      </c>
      <c r="I202" s="124">
        <f>'PPTO 2027'!$AD$39</f>
        <v>33919000</v>
      </c>
      <c r="J202" s="124">
        <f t="shared" si="9"/>
        <v>2219000</v>
      </c>
      <c r="K202" s="124">
        <f t="shared" si="10"/>
        <v>2219000</v>
      </c>
      <c r="L202" s="124">
        <f t="shared" si="11"/>
        <v>7.0000000000000007E-2</v>
      </c>
      <c r="M202" s="124">
        <f>IFERROR(INDEX(tReal27[[Ene]:[Dic]],MATCH(C202,tReal27[Cuenta],0),9),0)</f>
        <v>33425000</v>
      </c>
    </row>
    <row r="203" spans="1:13" x14ac:dyDescent="0.4">
      <c r="A203" s="124" t="str">
        <f>'PPTO 2027'!$E$39</f>
        <v>Operaciones</v>
      </c>
      <c r="B203" s="124" t="str">
        <f>'PPTO 2027'!$C$39</f>
        <v>Gastos de ventas</v>
      </c>
      <c r="C203" s="124" t="str">
        <f>'PPTO 2027'!$B$39</f>
        <v>Nómina de bodega</v>
      </c>
      <c r="D203" s="124" t="str">
        <f>'PPTO 2027'!$D$39</f>
        <v>Gasto</v>
      </c>
      <c r="E203" s="124" t="str">
        <f>'PPTO 2027'!$F$39</f>
        <v>Nómina</v>
      </c>
      <c r="F203" s="124" t="str">
        <f>CHOOSE(10,"Ene","Feb","Mar","Abr","May","Jun","Jul","Ago","Sep","Oct","Nov","Dic")</f>
        <v>Oct</v>
      </c>
      <c r="G203" s="124">
        <v>10</v>
      </c>
      <c r="H203" s="124">
        <f>'PPTO 2027'!$R$39</f>
        <v>31700000</v>
      </c>
      <c r="I203" s="124">
        <f>'PPTO 2027'!$AE$39</f>
        <v>33919000</v>
      </c>
      <c r="J203" s="124">
        <f t="shared" si="9"/>
        <v>2219000</v>
      </c>
      <c r="K203" s="124">
        <f t="shared" si="10"/>
        <v>2219000</v>
      </c>
      <c r="L203" s="124">
        <f t="shared" si="11"/>
        <v>7.0000000000000007E-2</v>
      </c>
      <c r="M203" s="124">
        <f>IFERROR(INDEX(tReal27[[Ene]:[Dic]],MATCH(C203,tReal27[Cuenta],0),10),0)</f>
        <v>34349000</v>
      </c>
    </row>
    <row r="204" spans="1:13" x14ac:dyDescent="0.4">
      <c r="A204" s="124" t="str">
        <f>'PPTO 2027'!$E$39</f>
        <v>Operaciones</v>
      </c>
      <c r="B204" s="124" t="str">
        <f>'PPTO 2027'!$C$39</f>
        <v>Gastos de ventas</v>
      </c>
      <c r="C204" s="124" t="str">
        <f>'PPTO 2027'!$B$39</f>
        <v>Nómina de bodega</v>
      </c>
      <c r="D204" s="124" t="str">
        <f>'PPTO 2027'!$D$39</f>
        <v>Gasto</v>
      </c>
      <c r="E204" s="124" t="str">
        <f>'PPTO 2027'!$F$39</f>
        <v>Nómina</v>
      </c>
      <c r="F204" s="124" t="str">
        <f>CHOOSE(11,"Ene","Feb","Mar","Abr","May","Jun","Jul","Ago","Sep","Oct","Nov","Dic")</f>
        <v>Nov</v>
      </c>
      <c r="G204" s="124">
        <v>11</v>
      </c>
      <c r="H204" s="124">
        <f>'PPTO 2027'!$S$39</f>
        <v>31700000</v>
      </c>
      <c r="I204" s="124">
        <f>'PPTO 2027'!$AF$39</f>
        <v>33919000</v>
      </c>
      <c r="J204" s="124">
        <f t="shared" si="9"/>
        <v>2219000</v>
      </c>
      <c r="K204" s="124">
        <f t="shared" si="10"/>
        <v>2219000</v>
      </c>
      <c r="L204" s="124">
        <f t="shared" si="11"/>
        <v>7.0000000000000007E-2</v>
      </c>
      <c r="M204" s="124">
        <f>IFERROR(INDEX(tReal27[[Ene]:[Dic]],MATCH(C204,tReal27[Cuenta],0),11),0)</f>
        <v>33754000</v>
      </c>
    </row>
    <row r="205" spans="1:13" x14ac:dyDescent="0.4">
      <c r="A205" s="124" t="str">
        <f>'PPTO 2027'!$E$39</f>
        <v>Operaciones</v>
      </c>
      <c r="B205" s="124" t="str">
        <f>'PPTO 2027'!$C$39</f>
        <v>Gastos de ventas</v>
      </c>
      <c r="C205" s="124" t="str">
        <f>'PPTO 2027'!$B$39</f>
        <v>Nómina de bodega</v>
      </c>
      <c r="D205" s="124" t="str">
        <f>'PPTO 2027'!$D$39</f>
        <v>Gasto</v>
      </c>
      <c r="E205" s="124" t="str">
        <f>'PPTO 2027'!$F$39</f>
        <v>Nómina</v>
      </c>
      <c r="F205" s="124" t="str">
        <f>CHOOSE(12,"Ene","Feb","Mar","Abr","May","Jun","Jul","Ago","Sep","Oct","Nov","Dic")</f>
        <v>Dic</v>
      </c>
      <c r="G205" s="124">
        <v>12</v>
      </c>
      <c r="H205" s="124">
        <f>'PPTO 2027'!$T$39</f>
        <v>31300000</v>
      </c>
      <c r="I205" s="124">
        <f>'PPTO 2027'!$AG$39</f>
        <v>33491000.000000004</v>
      </c>
      <c r="J205" s="124">
        <f t="shared" si="9"/>
        <v>2191000.0000000037</v>
      </c>
      <c r="K205" s="124">
        <f t="shared" si="10"/>
        <v>2191000.0000000037</v>
      </c>
      <c r="L205" s="124">
        <f t="shared" si="11"/>
        <v>7.0000000000000118E-2</v>
      </c>
      <c r="M205" s="124">
        <f>IFERROR(INDEX(tReal27[[Ene]:[Dic]],MATCH(C205,tReal27[Cuenta],0),12),0)</f>
        <v>33261000</v>
      </c>
    </row>
    <row r="206" spans="1:13" x14ac:dyDescent="0.4">
      <c r="A206" s="124" t="str">
        <f>'PPTO 2027'!$E$40</f>
        <v>Operaciones</v>
      </c>
      <c r="B206" s="124" t="str">
        <f>'PPTO 2027'!$C$40</f>
        <v>Gastos de ventas</v>
      </c>
      <c r="C206" s="124" t="str">
        <f>'PPTO 2027'!$B$40</f>
        <v>Arrendamiento de bodega</v>
      </c>
      <c r="D206" s="124" t="str">
        <f>'PPTO 2027'!$D$40</f>
        <v>Gasto</v>
      </c>
      <c r="E206" s="124" t="str">
        <f>'PPTO 2027'!$F$40</f>
        <v>IPC</v>
      </c>
      <c r="F206" s="124" t="str">
        <f>CHOOSE(1,"Ene","Feb","Mar","Abr","May","Jun","Jul","Ago","Sep","Oct","Nov","Dic")</f>
        <v>Ene</v>
      </c>
      <c r="G206" s="124">
        <v>1</v>
      </c>
      <c r="H206" s="124">
        <f>'PPTO 2027'!$I$40</f>
        <v>20000000</v>
      </c>
      <c r="I206" s="124">
        <f>'PPTO 2027'!$V$40</f>
        <v>20800000</v>
      </c>
      <c r="J206" s="124">
        <f t="shared" si="9"/>
        <v>800000</v>
      </c>
      <c r="K206" s="124">
        <f t="shared" si="10"/>
        <v>800000</v>
      </c>
      <c r="L206" s="124">
        <f t="shared" si="11"/>
        <v>0.04</v>
      </c>
      <c r="M206" s="124">
        <f>IFERROR(INDEX(tReal27[[Ene]:[Dic]],MATCH(C206,tReal27[Cuenta],0),1),0)</f>
        <v>20459000</v>
      </c>
    </row>
    <row r="207" spans="1:13" x14ac:dyDescent="0.4">
      <c r="A207" s="124" t="str">
        <f>'PPTO 2027'!$E$40</f>
        <v>Operaciones</v>
      </c>
      <c r="B207" s="124" t="str">
        <f>'PPTO 2027'!$C$40</f>
        <v>Gastos de ventas</v>
      </c>
      <c r="C207" s="124" t="str">
        <f>'PPTO 2027'!$B$40</f>
        <v>Arrendamiento de bodega</v>
      </c>
      <c r="D207" s="124" t="str">
        <f>'PPTO 2027'!$D$40</f>
        <v>Gasto</v>
      </c>
      <c r="E207" s="124" t="str">
        <f>'PPTO 2027'!$F$40</f>
        <v>IPC</v>
      </c>
      <c r="F207" s="124" t="str">
        <f>CHOOSE(2,"Ene","Feb","Mar","Abr","May","Jun","Jul","Ago","Sep","Oct","Nov","Dic")</f>
        <v>Feb</v>
      </c>
      <c r="G207" s="124">
        <v>2</v>
      </c>
      <c r="H207" s="124">
        <f>'PPTO 2027'!$J$40</f>
        <v>20000000</v>
      </c>
      <c r="I207" s="124">
        <f>'PPTO 2027'!$W$40</f>
        <v>20800000</v>
      </c>
      <c r="J207" s="124">
        <f t="shared" si="9"/>
        <v>800000</v>
      </c>
      <c r="K207" s="124">
        <f t="shared" si="10"/>
        <v>800000</v>
      </c>
      <c r="L207" s="124">
        <f t="shared" si="11"/>
        <v>0.04</v>
      </c>
      <c r="M207" s="124">
        <f>IFERROR(INDEX(tReal27[[Ene]:[Dic]],MATCH(C207,tReal27[Cuenta],0),2),0)</f>
        <v>20497000</v>
      </c>
    </row>
    <row r="208" spans="1:13" x14ac:dyDescent="0.4">
      <c r="A208" s="124" t="str">
        <f>'PPTO 2027'!$E$40</f>
        <v>Operaciones</v>
      </c>
      <c r="B208" s="124" t="str">
        <f>'PPTO 2027'!$C$40</f>
        <v>Gastos de ventas</v>
      </c>
      <c r="C208" s="124" t="str">
        <f>'PPTO 2027'!$B$40</f>
        <v>Arrendamiento de bodega</v>
      </c>
      <c r="D208" s="124" t="str">
        <f>'PPTO 2027'!$D$40</f>
        <v>Gasto</v>
      </c>
      <c r="E208" s="124" t="str">
        <f>'PPTO 2027'!$F$40</f>
        <v>IPC</v>
      </c>
      <c r="F208" s="124" t="str">
        <f>CHOOSE(3,"Ene","Feb","Mar","Abr","May","Jun","Jul","Ago","Sep","Oct","Nov","Dic")</f>
        <v>Mar</v>
      </c>
      <c r="G208" s="124">
        <v>3</v>
      </c>
      <c r="H208" s="124">
        <f>'PPTO 2027'!$K$40</f>
        <v>20000000</v>
      </c>
      <c r="I208" s="124">
        <f>'PPTO 2027'!$X$40</f>
        <v>20800000</v>
      </c>
      <c r="J208" s="124">
        <f t="shared" si="9"/>
        <v>800000</v>
      </c>
      <c r="K208" s="124">
        <f t="shared" si="10"/>
        <v>800000</v>
      </c>
      <c r="L208" s="124">
        <f t="shared" si="11"/>
        <v>0.04</v>
      </c>
      <c r="M208" s="124">
        <f>IFERROR(INDEX(tReal27[[Ene]:[Dic]],MATCH(C208,tReal27[Cuenta],0),3),0)</f>
        <v>21405000</v>
      </c>
    </row>
    <row r="209" spans="1:13" x14ac:dyDescent="0.4">
      <c r="A209" s="124" t="str">
        <f>'PPTO 2027'!$E$40</f>
        <v>Operaciones</v>
      </c>
      <c r="B209" s="124" t="str">
        <f>'PPTO 2027'!$C$40</f>
        <v>Gastos de ventas</v>
      </c>
      <c r="C209" s="124" t="str">
        <f>'PPTO 2027'!$B$40</f>
        <v>Arrendamiento de bodega</v>
      </c>
      <c r="D209" s="124" t="str">
        <f>'PPTO 2027'!$D$40</f>
        <v>Gasto</v>
      </c>
      <c r="E209" s="124" t="str">
        <f>'PPTO 2027'!$F$40</f>
        <v>IPC</v>
      </c>
      <c r="F209" s="124" t="str">
        <f>CHOOSE(4,"Ene","Feb","Mar","Abr","May","Jun","Jul","Ago","Sep","Oct","Nov","Dic")</f>
        <v>Abr</v>
      </c>
      <c r="G209" s="124">
        <v>4</v>
      </c>
      <c r="H209" s="124">
        <f>'PPTO 2027'!$L$40</f>
        <v>20000000</v>
      </c>
      <c r="I209" s="124">
        <f>'PPTO 2027'!$Y$40</f>
        <v>20800000</v>
      </c>
      <c r="J209" s="124">
        <f t="shared" si="9"/>
        <v>800000</v>
      </c>
      <c r="K209" s="124">
        <f t="shared" si="10"/>
        <v>800000</v>
      </c>
      <c r="L209" s="124">
        <f t="shared" si="11"/>
        <v>0.04</v>
      </c>
      <c r="M209" s="124">
        <f>IFERROR(INDEX(tReal27[[Ene]:[Dic]],MATCH(C209,tReal27[Cuenta],0),4),0)</f>
        <v>20692000</v>
      </c>
    </row>
    <row r="210" spans="1:13" x14ac:dyDescent="0.4">
      <c r="A210" s="124" t="str">
        <f>'PPTO 2027'!$E$40</f>
        <v>Operaciones</v>
      </c>
      <c r="B210" s="124" t="str">
        <f>'PPTO 2027'!$C$40</f>
        <v>Gastos de ventas</v>
      </c>
      <c r="C210" s="124" t="str">
        <f>'PPTO 2027'!$B$40</f>
        <v>Arrendamiento de bodega</v>
      </c>
      <c r="D210" s="124" t="str">
        <f>'PPTO 2027'!$D$40</f>
        <v>Gasto</v>
      </c>
      <c r="E210" s="124" t="str">
        <f>'PPTO 2027'!$F$40</f>
        <v>IPC</v>
      </c>
      <c r="F210" s="124" t="str">
        <f>CHOOSE(5,"Ene","Feb","Mar","Abr","May","Jun","Jul","Ago","Sep","Oct","Nov","Dic")</f>
        <v>May</v>
      </c>
      <c r="G210" s="124">
        <v>5</v>
      </c>
      <c r="H210" s="124">
        <f>'PPTO 2027'!$M$40</f>
        <v>20000000</v>
      </c>
      <c r="I210" s="124">
        <f>'PPTO 2027'!$Z$40</f>
        <v>20800000</v>
      </c>
      <c r="J210" s="124">
        <f t="shared" si="9"/>
        <v>800000</v>
      </c>
      <c r="K210" s="124">
        <f t="shared" si="10"/>
        <v>800000</v>
      </c>
      <c r="L210" s="124">
        <f t="shared" si="11"/>
        <v>0.04</v>
      </c>
      <c r="M210" s="124">
        <f>IFERROR(INDEX(tReal27[[Ene]:[Dic]],MATCH(C210,tReal27[Cuenta],0),5),0)</f>
        <v>20346000</v>
      </c>
    </row>
    <row r="211" spans="1:13" x14ac:dyDescent="0.4">
      <c r="A211" s="124" t="str">
        <f>'PPTO 2027'!$E$40</f>
        <v>Operaciones</v>
      </c>
      <c r="B211" s="124" t="str">
        <f>'PPTO 2027'!$C$40</f>
        <v>Gastos de ventas</v>
      </c>
      <c r="C211" s="124" t="str">
        <f>'PPTO 2027'!$B$40</f>
        <v>Arrendamiento de bodega</v>
      </c>
      <c r="D211" s="124" t="str">
        <f>'PPTO 2027'!$D$40</f>
        <v>Gasto</v>
      </c>
      <c r="E211" s="124" t="str">
        <f>'PPTO 2027'!$F$40</f>
        <v>IPC</v>
      </c>
      <c r="F211" s="124" t="str">
        <f>CHOOSE(6,"Ene","Feb","Mar","Abr","May","Jun","Jul","Ago","Sep","Oct","Nov","Dic")</f>
        <v>Jun</v>
      </c>
      <c r="G211" s="124">
        <v>6</v>
      </c>
      <c r="H211" s="124">
        <f>'PPTO 2027'!$N$40</f>
        <v>20000000</v>
      </c>
      <c r="I211" s="124">
        <f>'PPTO 2027'!$AA$40</f>
        <v>20800000</v>
      </c>
      <c r="J211" s="124">
        <f t="shared" si="9"/>
        <v>800000</v>
      </c>
      <c r="K211" s="124">
        <f t="shared" si="10"/>
        <v>800000</v>
      </c>
      <c r="L211" s="124">
        <f t="shared" si="11"/>
        <v>0.04</v>
      </c>
      <c r="M211" s="124">
        <f>IFERROR(INDEX(tReal27[[Ene]:[Dic]],MATCH(C211,tReal27[Cuenta],0),6),0)</f>
        <v>21225000</v>
      </c>
    </row>
    <row r="212" spans="1:13" x14ac:dyDescent="0.4">
      <c r="A212" s="124" t="str">
        <f>'PPTO 2027'!$E$40</f>
        <v>Operaciones</v>
      </c>
      <c r="B212" s="124" t="str">
        <f>'PPTO 2027'!$C$40</f>
        <v>Gastos de ventas</v>
      </c>
      <c r="C212" s="124" t="str">
        <f>'PPTO 2027'!$B$40</f>
        <v>Arrendamiento de bodega</v>
      </c>
      <c r="D212" s="124" t="str">
        <f>'PPTO 2027'!$D$40</f>
        <v>Gasto</v>
      </c>
      <c r="E212" s="124" t="str">
        <f>'PPTO 2027'!$F$40</f>
        <v>IPC</v>
      </c>
      <c r="F212" s="124" t="str">
        <f>CHOOSE(7,"Ene","Feb","Mar","Abr","May","Jun","Jul","Ago","Sep","Oct","Nov","Dic")</f>
        <v>Jul</v>
      </c>
      <c r="G212" s="124">
        <v>7</v>
      </c>
      <c r="H212" s="124">
        <f>'PPTO 2027'!$O$40</f>
        <v>20000000</v>
      </c>
      <c r="I212" s="124">
        <f>'PPTO 2027'!$AB$40</f>
        <v>20800000</v>
      </c>
      <c r="J212" s="124">
        <f t="shared" si="9"/>
        <v>800000</v>
      </c>
      <c r="K212" s="124">
        <f t="shared" si="10"/>
        <v>800000</v>
      </c>
      <c r="L212" s="124">
        <f t="shared" si="11"/>
        <v>0.04</v>
      </c>
      <c r="M212" s="124">
        <f>IFERROR(INDEX(tReal27[[Ene]:[Dic]],MATCH(C212,tReal27[Cuenta],0),7),0)</f>
        <v>20739000</v>
      </c>
    </row>
    <row r="213" spans="1:13" x14ac:dyDescent="0.4">
      <c r="A213" s="124" t="str">
        <f>'PPTO 2027'!$E$40</f>
        <v>Operaciones</v>
      </c>
      <c r="B213" s="124" t="str">
        <f>'PPTO 2027'!$C$40</f>
        <v>Gastos de ventas</v>
      </c>
      <c r="C213" s="124" t="str">
        <f>'PPTO 2027'!$B$40</f>
        <v>Arrendamiento de bodega</v>
      </c>
      <c r="D213" s="124" t="str">
        <f>'PPTO 2027'!$D$40</f>
        <v>Gasto</v>
      </c>
      <c r="E213" s="124" t="str">
        <f>'PPTO 2027'!$F$40</f>
        <v>IPC</v>
      </c>
      <c r="F213" s="124" t="str">
        <f>CHOOSE(8,"Ene","Feb","Mar","Abr","May","Jun","Jul","Ago","Sep","Oct","Nov","Dic")</f>
        <v>Ago</v>
      </c>
      <c r="G213" s="124">
        <v>8</v>
      </c>
      <c r="H213" s="124">
        <f>'PPTO 2027'!$P$40</f>
        <v>20000000</v>
      </c>
      <c r="I213" s="124">
        <f>'PPTO 2027'!$AC$40</f>
        <v>20800000</v>
      </c>
      <c r="J213" s="124">
        <f t="shared" si="9"/>
        <v>800000</v>
      </c>
      <c r="K213" s="124">
        <f t="shared" si="10"/>
        <v>800000</v>
      </c>
      <c r="L213" s="124">
        <f t="shared" si="11"/>
        <v>0.04</v>
      </c>
      <c r="M213" s="124">
        <f>IFERROR(INDEX(tReal27[[Ene]:[Dic]],MATCH(C213,tReal27[Cuenta],0),8),0)</f>
        <v>20612000</v>
      </c>
    </row>
    <row r="214" spans="1:13" x14ac:dyDescent="0.4">
      <c r="A214" s="124" t="str">
        <f>'PPTO 2027'!$E$40</f>
        <v>Operaciones</v>
      </c>
      <c r="B214" s="124" t="str">
        <f>'PPTO 2027'!$C$40</f>
        <v>Gastos de ventas</v>
      </c>
      <c r="C214" s="124" t="str">
        <f>'PPTO 2027'!$B$40</f>
        <v>Arrendamiento de bodega</v>
      </c>
      <c r="D214" s="124" t="str">
        <f>'PPTO 2027'!$D$40</f>
        <v>Gasto</v>
      </c>
      <c r="E214" s="124" t="str">
        <f>'PPTO 2027'!$F$40</f>
        <v>IPC</v>
      </c>
      <c r="F214" s="124" t="str">
        <f>CHOOSE(9,"Ene","Feb","Mar","Abr","May","Jun","Jul","Ago","Sep","Oct","Nov","Dic")</f>
        <v>Sep</v>
      </c>
      <c r="G214" s="124">
        <v>9</v>
      </c>
      <c r="H214" s="124">
        <f>'PPTO 2027'!$Q$40</f>
        <v>20000000</v>
      </c>
      <c r="I214" s="124">
        <f>'PPTO 2027'!$AD$40</f>
        <v>20800000</v>
      </c>
      <c r="J214" s="124">
        <f t="shared" si="9"/>
        <v>800000</v>
      </c>
      <c r="K214" s="124">
        <f t="shared" si="10"/>
        <v>800000</v>
      </c>
      <c r="L214" s="124">
        <f t="shared" si="11"/>
        <v>0.04</v>
      </c>
      <c r="M214" s="124">
        <f>IFERROR(INDEX(tReal27[[Ene]:[Dic]],MATCH(C214,tReal27[Cuenta],0),9),0)</f>
        <v>20155000</v>
      </c>
    </row>
    <row r="215" spans="1:13" x14ac:dyDescent="0.4">
      <c r="A215" s="124" t="str">
        <f>'PPTO 2027'!$E$40</f>
        <v>Operaciones</v>
      </c>
      <c r="B215" s="124" t="str">
        <f>'PPTO 2027'!$C$40</f>
        <v>Gastos de ventas</v>
      </c>
      <c r="C215" s="124" t="str">
        <f>'PPTO 2027'!$B$40</f>
        <v>Arrendamiento de bodega</v>
      </c>
      <c r="D215" s="124" t="str">
        <f>'PPTO 2027'!$D$40</f>
        <v>Gasto</v>
      </c>
      <c r="E215" s="124" t="str">
        <f>'PPTO 2027'!$F$40</f>
        <v>IPC</v>
      </c>
      <c r="F215" s="124" t="str">
        <f>CHOOSE(10,"Ene","Feb","Mar","Abr","May","Jun","Jul","Ago","Sep","Oct","Nov","Dic")</f>
        <v>Oct</v>
      </c>
      <c r="G215" s="124">
        <v>10</v>
      </c>
      <c r="H215" s="124">
        <f>'PPTO 2027'!$R$40</f>
        <v>20000000</v>
      </c>
      <c r="I215" s="124">
        <f>'PPTO 2027'!$AE$40</f>
        <v>20800000</v>
      </c>
      <c r="J215" s="124">
        <f t="shared" si="9"/>
        <v>800000</v>
      </c>
      <c r="K215" s="124">
        <f t="shared" si="10"/>
        <v>800000</v>
      </c>
      <c r="L215" s="124">
        <f t="shared" si="11"/>
        <v>0.04</v>
      </c>
      <c r="M215" s="124">
        <f>IFERROR(INDEX(tReal27[[Ene]:[Dic]],MATCH(C215,tReal27[Cuenta],0),10),0)</f>
        <v>20484000</v>
      </c>
    </row>
    <row r="216" spans="1:13" x14ac:dyDescent="0.4">
      <c r="A216" s="124" t="str">
        <f>'PPTO 2027'!$E$40</f>
        <v>Operaciones</v>
      </c>
      <c r="B216" s="124" t="str">
        <f>'PPTO 2027'!$C$40</f>
        <v>Gastos de ventas</v>
      </c>
      <c r="C216" s="124" t="str">
        <f>'PPTO 2027'!$B$40</f>
        <v>Arrendamiento de bodega</v>
      </c>
      <c r="D216" s="124" t="str">
        <f>'PPTO 2027'!$D$40</f>
        <v>Gasto</v>
      </c>
      <c r="E216" s="124" t="str">
        <f>'PPTO 2027'!$F$40</f>
        <v>IPC</v>
      </c>
      <c r="F216" s="124" t="str">
        <f>CHOOSE(11,"Ene","Feb","Mar","Abr","May","Jun","Jul","Ago","Sep","Oct","Nov","Dic")</f>
        <v>Nov</v>
      </c>
      <c r="G216" s="124">
        <v>11</v>
      </c>
      <c r="H216" s="124">
        <f>'PPTO 2027'!$S$40</f>
        <v>20000000</v>
      </c>
      <c r="I216" s="124">
        <f>'PPTO 2027'!$AF$40</f>
        <v>20800000</v>
      </c>
      <c r="J216" s="124">
        <f t="shared" si="9"/>
        <v>800000</v>
      </c>
      <c r="K216" s="124">
        <f t="shared" si="10"/>
        <v>800000</v>
      </c>
      <c r="L216" s="124">
        <f t="shared" si="11"/>
        <v>0.04</v>
      </c>
      <c r="M216" s="124">
        <f>IFERROR(INDEX(tReal27[[Ene]:[Dic]],MATCH(C216,tReal27[Cuenta],0),11),0)</f>
        <v>20592000</v>
      </c>
    </row>
    <row r="217" spans="1:13" x14ac:dyDescent="0.4">
      <c r="A217" s="124" t="str">
        <f>'PPTO 2027'!$E$40</f>
        <v>Operaciones</v>
      </c>
      <c r="B217" s="124" t="str">
        <f>'PPTO 2027'!$C$40</f>
        <v>Gastos de ventas</v>
      </c>
      <c r="C217" s="124" t="str">
        <f>'PPTO 2027'!$B$40</f>
        <v>Arrendamiento de bodega</v>
      </c>
      <c r="D217" s="124" t="str">
        <f>'PPTO 2027'!$D$40</f>
        <v>Gasto</v>
      </c>
      <c r="E217" s="124" t="str">
        <f>'PPTO 2027'!$F$40</f>
        <v>IPC</v>
      </c>
      <c r="F217" s="124" t="str">
        <f>CHOOSE(12,"Ene","Feb","Mar","Abr","May","Jun","Jul","Ago","Sep","Oct","Nov","Dic")</f>
        <v>Dic</v>
      </c>
      <c r="G217" s="124">
        <v>12</v>
      </c>
      <c r="H217" s="124">
        <f>'PPTO 2027'!$T$40</f>
        <v>20000000</v>
      </c>
      <c r="I217" s="124">
        <f>'PPTO 2027'!$AG$40</f>
        <v>20800000</v>
      </c>
      <c r="J217" s="124">
        <f t="shared" si="9"/>
        <v>800000</v>
      </c>
      <c r="K217" s="124">
        <f t="shared" si="10"/>
        <v>800000</v>
      </c>
      <c r="L217" s="124">
        <f t="shared" si="11"/>
        <v>0.04</v>
      </c>
      <c r="M217" s="124">
        <f>IFERROR(INDEX(tReal27[[Ene]:[Dic]],MATCH(C217,tReal27[Cuenta],0),12),0)</f>
        <v>20796000</v>
      </c>
    </row>
    <row r="218" spans="1:13" x14ac:dyDescent="0.4">
      <c r="A218" s="124" t="str">
        <f>'PPTO 2027'!$E$41</f>
        <v>Operaciones</v>
      </c>
      <c r="B218" s="124" t="str">
        <f>'PPTO 2027'!$C$41</f>
        <v>Gastos de ventas</v>
      </c>
      <c r="C218" s="124" t="str">
        <f>'PPTO 2027'!$B$41</f>
        <v>Mantenimiento</v>
      </c>
      <c r="D218" s="124" t="str">
        <f>'PPTO 2027'!$D$41</f>
        <v>Gasto</v>
      </c>
      <c r="E218" s="124" t="str">
        <f>'PPTO 2027'!$F$41</f>
        <v>IPC</v>
      </c>
      <c r="F218" s="124" t="str">
        <f>CHOOSE(1,"Ene","Feb","Mar","Abr","May","Jun","Jul","Ago","Sep","Oct","Nov","Dic")</f>
        <v>Ene</v>
      </c>
      <c r="G218" s="124">
        <v>1</v>
      </c>
      <c r="H218" s="124">
        <f>'PPTO 2027'!$I$41</f>
        <v>7500000</v>
      </c>
      <c r="I218" s="124">
        <f>'PPTO 2027'!$V$41</f>
        <v>7800000</v>
      </c>
      <c r="J218" s="124">
        <f t="shared" si="9"/>
        <v>300000</v>
      </c>
      <c r="K218" s="124">
        <f t="shared" si="10"/>
        <v>300000</v>
      </c>
      <c r="L218" s="124">
        <f t="shared" si="11"/>
        <v>0.04</v>
      </c>
      <c r="M218" s="124">
        <f>IFERROR(INDEX(tReal27[[Ene]:[Dic]],MATCH(C218,tReal27[Cuenta],0),1),0)</f>
        <v>7805000</v>
      </c>
    </row>
    <row r="219" spans="1:13" x14ac:dyDescent="0.4">
      <c r="A219" s="124" t="str">
        <f>'PPTO 2027'!$E$41</f>
        <v>Operaciones</v>
      </c>
      <c r="B219" s="124" t="str">
        <f>'PPTO 2027'!$C$41</f>
        <v>Gastos de ventas</v>
      </c>
      <c r="C219" s="124" t="str">
        <f>'PPTO 2027'!$B$41</f>
        <v>Mantenimiento</v>
      </c>
      <c r="D219" s="124" t="str">
        <f>'PPTO 2027'!$D$41</f>
        <v>Gasto</v>
      </c>
      <c r="E219" s="124" t="str">
        <f>'PPTO 2027'!$F$41</f>
        <v>IPC</v>
      </c>
      <c r="F219" s="124" t="str">
        <f>CHOOSE(2,"Ene","Feb","Mar","Abr","May","Jun","Jul","Ago","Sep","Oct","Nov","Dic")</f>
        <v>Feb</v>
      </c>
      <c r="G219" s="124">
        <v>2</v>
      </c>
      <c r="H219" s="124">
        <f>'PPTO 2027'!$J$41</f>
        <v>7500000</v>
      </c>
      <c r="I219" s="124">
        <f>'PPTO 2027'!$W$41</f>
        <v>7800000</v>
      </c>
      <c r="J219" s="124">
        <f t="shared" si="9"/>
        <v>300000</v>
      </c>
      <c r="K219" s="124">
        <f t="shared" si="10"/>
        <v>300000</v>
      </c>
      <c r="L219" s="124">
        <f t="shared" si="11"/>
        <v>0.04</v>
      </c>
      <c r="M219" s="124">
        <f>IFERROR(INDEX(tReal27[[Ene]:[Dic]],MATCH(C219,tReal27[Cuenta],0),2),0)</f>
        <v>7748000</v>
      </c>
    </row>
    <row r="220" spans="1:13" x14ac:dyDescent="0.4">
      <c r="A220" s="124" t="str">
        <f>'PPTO 2027'!$E$41</f>
        <v>Operaciones</v>
      </c>
      <c r="B220" s="124" t="str">
        <f>'PPTO 2027'!$C$41</f>
        <v>Gastos de ventas</v>
      </c>
      <c r="C220" s="124" t="str">
        <f>'PPTO 2027'!$B$41</f>
        <v>Mantenimiento</v>
      </c>
      <c r="D220" s="124" t="str">
        <f>'PPTO 2027'!$D$41</f>
        <v>Gasto</v>
      </c>
      <c r="E220" s="124" t="str">
        <f>'PPTO 2027'!$F$41</f>
        <v>IPC</v>
      </c>
      <c r="F220" s="124" t="str">
        <f>CHOOSE(3,"Ene","Feb","Mar","Abr","May","Jun","Jul","Ago","Sep","Oct","Nov","Dic")</f>
        <v>Mar</v>
      </c>
      <c r="G220" s="124">
        <v>3</v>
      </c>
      <c r="H220" s="124">
        <f>'PPTO 2027'!$K$41</f>
        <v>7500000</v>
      </c>
      <c r="I220" s="124">
        <f>'PPTO 2027'!$X$41</f>
        <v>7800000</v>
      </c>
      <c r="J220" s="124">
        <f t="shared" si="9"/>
        <v>300000</v>
      </c>
      <c r="K220" s="124">
        <f t="shared" si="10"/>
        <v>300000</v>
      </c>
      <c r="L220" s="124">
        <f t="shared" si="11"/>
        <v>0.04</v>
      </c>
      <c r="M220" s="124">
        <f>IFERROR(INDEX(tReal27[[Ene]:[Dic]],MATCH(C220,tReal27[Cuenta],0),3),0)</f>
        <v>7622000</v>
      </c>
    </row>
    <row r="221" spans="1:13" x14ac:dyDescent="0.4">
      <c r="A221" s="124" t="str">
        <f>'PPTO 2027'!$E$41</f>
        <v>Operaciones</v>
      </c>
      <c r="B221" s="124" t="str">
        <f>'PPTO 2027'!$C$41</f>
        <v>Gastos de ventas</v>
      </c>
      <c r="C221" s="124" t="str">
        <f>'PPTO 2027'!$B$41</f>
        <v>Mantenimiento</v>
      </c>
      <c r="D221" s="124" t="str">
        <f>'PPTO 2027'!$D$41</f>
        <v>Gasto</v>
      </c>
      <c r="E221" s="124" t="str">
        <f>'PPTO 2027'!$F$41</f>
        <v>IPC</v>
      </c>
      <c r="F221" s="124" t="str">
        <f>CHOOSE(4,"Ene","Feb","Mar","Abr","May","Jun","Jul","Ago","Sep","Oct","Nov","Dic")</f>
        <v>Abr</v>
      </c>
      <c r="G221" s="124">
        <v>4</v>
      </c>
      <c r="H221" s="124">
        <f>'PPTO 2027'!$L$41</f>
        <v>7500000</v>
      </c>
      <c r="I221" s="124">
        <f>'PPTO 2027'!$Y$41</f>
        <v>7800000</v>
      </c>
      <c r="J221" s="124">
        <f t="shared" si="9"/>
        <v>300000</v>
      </c>
      <c r="K221" s="124">
        <f t="shared" si="10"/>
        <v>300000</v>
      </c>
      <c r="L221" s="124">
        <f t="shared" si="11"/>
        <v>0.04</v>
      </c>
      <c r="M221" s="124">
        <f>IFERROR(INDEX(tReal27[[Ene]:[Dic]],MATCH(C221,tReal27[Cuenta],0),4),0)</f>
        <v>7839000</v>
      </c>
    </row>
    <row r="222" spans="1:13" x14ac:dyDescent="0.4">
      <c r="A222" s="124" t="str">
        <f>'PPTO 2027'!$E$41</f>
        <v>Operaciones</v>
      </c>
      <c r="B222" s="124" t="str">
        <f>'PPTO 2027'!$C$41</f>
        <v>Gastos de ventas</v>
      </c>
      <c r="C222" s="124" t="str">
        <f>'PPTO 2027'!$B$41</f>
        <v>Mantenimiento</v>
      </c>
      <c r="D222" s="124" t="str">
        <f>'PPTO 2027'!$D$41</f>
        <v>Gasto</v>
      </c>
      <c r="E222" s="124" t="str">
        <f>'PPTO 2027'!$F$41</f>
        <v>IPC</v>
      </c>
      <c r="F222" s="124" t="str">
        <f>CHOOSE(5,"Ene","Feb","Mar","Abr","May","Jun","Jul","Ago","Sep","Oct","Nov","Dic")</f>
        <v>May</v>
      </c>
      <c r="G222" s="124">
        <v>5</v>
      </c>
      <c r="H222" s="124">
        <f>'PPTO 2027'!$M$41</f>
        <v>7500000</v>
      </c>
      <c r="I222" s="124">
        <f>'PPTO 2027'!$Z$41</f>
        <v>7800000</v>
      </c>
      <c r="J222" s="124">
        <f t="shared" si="9"/>
        <v>300000</v>
      </c>
      <c r="K222" s="124">
        <f t="shared" si="10"/>
        <v>300000</v>
      </c>
      <c r="L222" s="124">
        <f t="shared" si="11"/>
        <v>0.04</v>
      </c>
      <c r="M222" s="124">
        <f>IFERROR(INDEX(tReal27[[Ene]:[Dic]],MATCH(C222,tReal27[Cuenta],0),5),0)</f>
        <v>7869000</v>
      </c>
    </row>
    <row r="223" spans="1:13" x14ac:dyDescent="0.4">
      <c r="A223" s="124" t="str">
        <f>'PPTO 2027'!$E$41</f>
        <v>Operaciones</v>
      </c>
      <c r="B223" s="124" t="str">
        <f>'PPTO 2027'!$C$41</f>
        <v>Gastos de ventas</v>
      </c>
      <c r="C223" s="124" t="str">
        <f>'PPTO 2027'!$B$41</f>
        <v>Mantenimiento</v>
      </c>
      <c r="D223" s="124" t="str">
        <f>'PPTO 2027'!$D$41</f>
        <v>Gasto</v>
      </c>
      <c r="E223" s="124" t="str">
        <f>'PPTO 2027'!$F$41</f>
        <v>IPC</v>
      </c>
      <c r="F223" s="124" t="str">
        <f>CHOOSE(6,"Ene","Feb","Mar","Abr","May","Jun","Jul","Ago","Sep","Oct","Nov","Dic")</f>
        <v>Jun</v>
      </c>
      <c r="G223" s="124">
        <v>6</v>
      </c>
      <c r="H223" s="124">
        <f>'PPTO 2027'!$N$41</f>
        <v>7500000</v>
      </c>
      <c r="I223" s="124">
        <f>'PPTO 2027'!$AA$41</f>
        <v>7800000</v>
      </c>
      <c r="J223" s="124">
        <f t="shared" si="9"/>
        <v>300000</v>
      </c>
      <c r="K223" s="124">
        <f t="shared" si="10"/>
        <v>300000</v>
      </c>
      <c r="L223" s="124">
        <f t="shared" si="11"/>
        <v>0.04</v>
      </c>
      <c r="M223" s="124">
        <f>IFERROR(INDEX(tReal27[[Ene]:[Dic]],MATCH(C223,tReal27[Cuenta],0),6),0)</f>
        <v>7834000</v>
      </c>
    </row>
    <row r="224" spans="1:13" x14ac:dyDescent="0.4">
      <c r="A224" s="124" t="str">
        <f>'PPTO 2027'!$E$41</f>
        <v>Operaciones</v>
      </c>
      <c r="B224" s="124" t="str">
        <f>'PPTO 2027'!$C$41</f>
        <v>Gastos de ventas</v>
      </c>
      <c r="C224" s="124" t="str">
        <f>'PPTO 2027'!$B$41</f>
        <v>Mantenimiento</v>
      </c>
      <c r="D224" s="124" t="str">
        <f>'PPTO 2027'!$D$41</f>
        <v>Gasto</v>
      </c>
      <c r="E224" s="124" t="str">
        <f>'PPTO 2027'!$F$41</f>
        <v>IPC</v>
      </c>
      <c r="F224" s="124" t="str">
        <f>CHOOSE(7,"Ene","Feb","Mar","Abr","May","Jun","Jul","Ago","Sep","Oct","Nov","Dic")</f>
        <v>Jul</v>
      </c>
      <c r="G224" s="124">
        <v>7</v>
      </c>
      <c r="H224" s="124">
        <f>'PPTO 2027'!$O$41</f>
        <v>7500000</v>
      </c>
      <c r="I224" s="124">
        <f>'PPTO 2027'!$AB$41</f>
        <v>7800000</v>
      </c>
      <c r="J224" s="124">
        <f t="shared" si="9"/>
        <v>300000</v>
      </c>
      <c r="K224" s="124">
        <f t="shared" si="10"/>
        <v>300000</v>
      </c>
      <c r="L224" s="124">
        <f t="shared" si="11"/>
        <v>0.04</v>
      </c>
      <c r="M224" s="124">
        <f>IFERROR(INDEX(tReal27[[Ene]:[Dic]],MATCH(C224,tReal27[Cuenta],0),7),0)</f>
        <v>7861000</v>
      </c>
    </row>
    <row r="225" spans="1:13" x14ac:dyDescent="0.4">
      <c r="A225" s="124" t="str">
        <f>'PPTO 2027'!$E$41</f>
        <v>Operaciones</v>
      </c>
      <c r="B225" s="124" t="str">
        <f>'PPTO 2027'!$C$41</f>
        <v>Gastos de ventas</v>
      </c>
      <c r="C225" s="124" t="str">
        <f>'PPTO 2027'!$B$41</f>
        <v>Mantenimiento</v>
      </c>
      <c r="D225" s="124" t="str">
        <f>'PPTO 2027'!$D$41</f>
        <v>Gasto</v>
      </c>
      <c r="E225" s="124" t="str">
        <f>'PPTO 2027'!$F$41</f>
        <v>IPC</v>
      </c>
      <c r="F225" s="124" t="str">
        <f>CHOOSE(8,"Ene","Feb","Mar","Abr","May","Jun","Jul","Ago","Sep","Oct","Nov","Dic")</f>
        <v>Ago</v>
      </c>
      <c r="G225" s="124">
        <v>8</v>
      </c>
      <c r="H225" s="124">
        <f>'PPTO 2027'!$P$41</f>
        <v>7500000</v>
      </c>
      <c r="I225" s="124">
        <f>'PPTO 2027'!$AC$41</f>
        <v>7800000</v>
      </c>
      <c r="J225" s="124">
        <f t="shared" si="9"/>
        <v>300000</v>
      </c>
      <c r="K225" s="124">
        <f t="shared" si="10"/>
        <v>300000</v>
      </c>
      <c r="L225" s="124">
        <f t="shared" si="11"/>
        <v>0.04</v>
      </c>
      <c r="M225" s="124">
        <f>IFERROR(INDEX(tReal27[[Ene]:[Dic]],MATCH(C225,tReal27[Cuenta],0),8),0)</f>
        <v>7939000</v>
      </c>
    </row>
    <row r="226" spans="1:13" x14ac:dyDescent="0.4">
      <c r="A226" s="124" t="str">
        <f>'PPTO 2027'!$E$41</f>
        <v>Operaciones</v>
      </c>
      <c r="B226" s="124" t="str">
        <f>'PPTO 2027'!$C$41</f>
        <v>Gastos de ventas</v>
      </c>
      <c r="C226" s="124" t="str">
        <f>'PPTO 2027'!$B$41</f>
        <v>Mantenimiento</v>
      </c>
      <c r="D226" s="124" t="str">
        <f>'PPTO 2027'!$D$41</f>
        <v>Gasto</v>
      </c>
      <c r="E226" s="124" t="str">
        <f>'PPTO 2027'!$F$41</f>
        <v>IPC</v>
      </c>
      <c r="F226" s="124" t="str">
        <f>CHOOSE(9,"Ene","Feb","Mar","Abr","May","Jun","Jul","Ago","Sep","Oct","Nov","Dic")</f>
        <v>Sep</v>
      </c>
      <c r="G226" s="124">
        <v>9</v>
      </c>
      <c r="H226" s="124">
        <f>'PPTO 2027'!$Q$41</f>
        <v>7500000</v>
      </c>
      <c r="I226" s="124">
        <f>'PPTO 2027'!$AD$41</f>
        <v>7800000</v>
      </c>
      <c r="J226" s="124">
        <f t="shared" si="9"/>
        <v>300000</v>
      </c>
      <c r="K226" s="124">
        <f t="shared" si="10"/>
        <v>300000</v>
      </c>
      <c r="L226" s="124">
        <f t="shared" si="11"/>
        <v>0.04</v>
      </c>
      <c r="M226" s="124">
        <f>IFERROR(INDEX(tReal27[[Ene]:[Dic]],MATCH(C226,tReal27[Cuenta],0),9),0)</f>
        <v>7829000</v>
      </c>
    </row>
    <row r="227" spans="1:13" x14ac:dyDescent="0.4">
      <c r="A227" s="124" t="str">
        <f>'PPTO 2027'!$E$41</f>
        <v>Operaciones</v>
      </c>
      <c r="B227" s="124" t="str">
        <f>'PPTO 2027'!$C$41</f>
        <v>Gastos de ventas</v>
      </c>
      <c r="C227" s="124" t="str">
        <f>'PPTO 2027'!$B$41</f>
        <v>Mantenimiento</v>
      </c>
      <c r="D227" s="124" t="str">
        <f>'PPTO 2027'!$D$41</f>
        <v>Gasto</v>
      </c>
      <c r="E227" s="124" t="str">
        <f>'PPTO 2027'!$F$41</f>
        <v>IPC</v>
      </c>
      <c r="F227" s="124" t="str">
        <f>CHOOSE(10,"Ene","Feb","Mar","Abr","May","Jun","Jul","Ago","Sep","Oct","Nov","Dic")</f>
        <v>Oct</v>
      </c>
      <c r="G227" s="124">
        <v>10</v>
      </c>
      <c r="H227" s="124">
        <f>'PPTO 2027'!$R$41</f>
        <v>7500000</v>
      </c>
      <c r="I227" s="124">
        <f>'PPTO 2027'!$AE$41</f>
        <v>7800000</v>
      </c>
      <c r="J227" s="124">
        <f t="shared" si="9"/>
        <v>300000</v>
      </c>
      <c r="K227" s="124">
        <f t="shared" si="10"/>
        <v>300000</v>
      </c>
      <c r="L227" s="124">
        <f t="shared" si="11"/>
        <v>0.04</v>
      </c>
      <c r="M227" s="124">
        <f>IFERROR(INDEX(tReal27[[Ene]:[Dic]],MATCH(C227,tReal27[Cuenta],0),10),0)</f>
        <v>7661000</v>
      </c>
    </row>
    <row r="228" spans="1:13" x14ac:dyDescent="0.4">
      <c r="A228" s="124" t="str">
        <f>'PPTO 2027'!$E$41</f>
        <v>Operaciones</v>
      </c>
      <c r="B228" s="124" t="str">
        <f>'PPTO 2027'!$C$41</f>
        <v>Gastos de ventas</v>
      </c>
      <c r="C228" s="124" t="str">
        <f>'PPTO 2027'!$B$41</f>
        <v>Mantenimiento</v>
      </c>
      <c r="D228" s="124" t="str">
        <f>'PPTO 2027'!$D$41</f>
        <v>Gasto</v>
      </c>
      <c r="E228" s="124" t="str">
        <f>'PPTO 2027'!$F$41</f>
        <v>IPC</v>
      </c>
      <c r="F228" s="124" t="str">
        <f>CHOOSE(11,"Ene","Feb","Mar","Abr","May","Jun","Jul","Ago","Sep","Oct","Nov","Dic")</f>
        <v>Nov</v>
      </c>
      <c r="G228" s="124">
        <v>11</v>
      </c>
      <c r="H228" s="124">
        <f>'PPTO 2027'!$S$41</f>
        <v>7500000</v>
      </c>
      <c r="I228" s="124">
        <f>'PPTO 2027'!$AF$41</f>
        <v>7800000</v>
      </c>
      <c r="J228" s="124">
        <f t="shared" si="9"/>
        <v>300000</v>
      </c>
      <c r="K228" s="124">
        <f t="shared" si="10"/>
        <v>300000</v>
      </c>
      <c r="L228" s="124">
        <f t="shared" si="11"/>
        <v>0.04</v>
      </c>
      <c r="M228" s="124">
        <f>IFERROR(INDEX(tReal27[[Ene]:[Dic]],MATCH(C228,tReal27[Cuenta],0),11),0)</f>
        <v>7684000</v>
      </c>
    </row>
    <row r="229" spans="1:13" x14ac:dyDescent="0.4">
      <c r="A229" s="124" t="str">
        <f>'PPTO 2027'!$E$41</f>
        <v>Operaciones</v>
      </c>
      <c r="B229" s="124" t="str">
        <f>'PPTO 2027'!$C$41</f>
        <v>Gastos de ventas</v>
      </c>
      <c r="C229" s="124" t="str">
        <f>'PPTO 2027'!$B$41</f>
        <v>Mantenimiento</v>
      </c>
      <c r="D229" s="124" t="str">
        <f>'PPTO 2027'!$D$41</f>
        <v>Gasto</v>
      </c>
      <c r="E229" s="124" t="str">
        <f>'PPTO 2027'!$F$41</f>
        <v>IPC</v>
      </c>
      <c r="F229" s="124" t="str">
        <f>CHOOSE(12,"Ene","Feb","Mar","Abr","May","Jun","Jul","Ago","Sep","Oct","Nov","Dic")</f>
        <v>Dic</v>
      </c>
      <c r="G229" s="124">
        <v>12</v>
      </c>
      <c r="H229" s="124">
        <f>'PPTO 2027'!$T$41</f>
        <v>7500000</v>
      </c>
      <c r="I229" s="124">
        <f>'PPTO 2027'!$AG$41</f>
        <v>7800000</v>
      </c>
      <c r="J229" s="124">
        <f t="shared" si="9"/>
        <v>300000</v>
      </c>
      <c r="K229" s="124">
        <f t="shared" si="10"/>
        <v>300000</v>
      </c>
      <c r="L229" s="124">
        <f t="shared" si="11"/>
        <v>0.04</v>
      </c>
      <c r="M229" s="124">
        <f>IFERROR(INDEX(tReal27[[Ene]:[Dic]],MATCH(C229,tReal27[Cuenta],0),12),0)</f>
        <v>7803000</v>
      </c>
    </row>
    <row r="230" spans="1:13" x14ac:dyDescent="0.4">
      <c r="A230" s="124" t="str">
        <f>'PPTO 2027'!$E$49</f>
        <v>Corporativo</v>
      </c>
      <c r="B230" s="124" t="str">
        <f>'PPTO 2027'!$C$49</f>
        <v>Gastos financieros</v>
      </c>
      <c r="C230" s="124" t="str">
        <f>'PPTO 2027'!$B$49</f>
        <v>Intereses financieros</v>
      </c>
      <c r="D230" s="124" t="str">
        <f>'PPTO 2027'!$D$49</f>
        <v>Gasto</v>
      </c>
      <c r="E230" s="124" t="str">
        <f>'PPTO 2027'!$F$49</f>
        <v>Financiero</v>
      </c>
      <c r="F230" s="124" t="str">
        <f>CHOOSE(1,"Ene","Feb","Mar","Abr","May","Jun","Jul","Ago","Sep","Oct","Nov","Dic")</f>
        <v>Ene</v>
      </c>
      <c r="G230" s="124">
        <v>1</v>
      </c>
      <c r="H230" s="124">
        <f>'PPTO 2027'!$I$49</f>
        <v>21700000</v>
      </c>
      <c r="I230" s="124">
        <f>'PPTO 2027'!$V$49</f>
        <v>19530000</v>
      </c>
      <c r="J230" s="124">
        <f t="shared" si="9"/>
        <v>-2170000</v>
      </c>
      <c r="K230" s="124">
        <f t="shared" si="10"/>
        <v>2170000</v>
      </c>
      <c r="L230" s="124">
        <f t="shared" si="11"/>
        <v>-0.1</v>
      </c>
      <c r="M230" s="124">
        <f>IFERROR(INDEX(tReal27[[Ene]:[Dic]],MATCH(C230,tReal27[Cuenta],0),1),0)</f>
        <v>18320000</v>
      </c>
    </row>
    <row r="231" spans="1:13" x14ac:dyDescent="0.4">
      <c r="A231" s="124" t="str">
        <f>'PPTO 2027'!$E$49</f>
        <v>Corporativo</v>
      </c>
      <c r="B231" s="124" t="str">
        <f>'PPTO 2027'!$C$49</f>
        <v>Gastos financieros</v>
      </c>
      <c r="C231" s="124" t="str">
        <f>'PPTO 2027'!$B$49</f>
        <v>Intereses financieros</v>
      </c>
      <c r="D231" s="124" t="str">
        <f>'PPTO 2027'!$D$49</f>
        <v>Gasto</v>
      </c>
      <c r="E231" s="124" t="str">
        <f>'PPTO 2027'!$F$49</f>
        <v>Financiero</v>
      </c>
      <c r="F231" s="124" t="str">
        <f>CHOOSE(2,"Ene","Feb","Mar","Abr","May","Jun","Jul","Ago","Sep","Oct","Nov","Dic")</f>
        <v>Feb</v>
      </c>
      <c r="G231" s="124">
        <v>2</v>
      </c>
      <c r="H231" s="124">
        <f>'PPTO 2027'!$J$49</f>
        <v>21700000</v>
      </c>
      <c r="I231" s="124">
        <f>'PPTO 2027'!$W$49</f>
        <v>19530000</v>
      </c>
      <c r="J231" s="124">
        <f t="shared" si="9"/>
        <v>-2170000</v>
      </c>
      <c r="K231" s="124">
        <f t="shared" si="10"/>
        <v>2170000</v>
      </c>
      <c r="L231" s="124">
        <f t="shared" si="11"/>
        <v>-0.1</v>
      </c>
      <c r="M231" s="124">
        <f>IFERROR(INDEX(tReal27[[Ene]:[Dic]],MATCH(C231,tReal27[Cuenta],0),2),0)</f>
        <v>18574000</v>
      </c>
    </row>
    <row r="232" spans="1:13" x14ac:dyDescent="0.4">
      <c r="A232" s="124" t="str">
        <f>'PPTO 2027'!$E$49</f>
        <v>Corporativo</v>
      </c>
      <c r="B232" s="124" t="str">
        <f>'PPTO 2027'!$C$49</f>
        <v>Gastos financieros</v>
      </c>
      <c r="C232" s="124" t="str">
        <f>'PPTO 2027'!$B$49</f>
        <v>Intereses financieros</v>
      </c>
      <c r="D232" s="124" t="str">
        <f>'PPTO 2027'!$D$49</f>
        <v>Gasto</v>
      </c>
      <c r="E232" s="124" t="str">
        <f>'PPTO 2027'!$F$49</f>
        <v>Financiero</v>
      </c>
      <c r="F232" s="124" t="str">
        <f>CHOOSE(3,"Ene","Feb","Mar","Abr","May","Jun","Jul","Ago","Sep","Oct","Nov","Dic")</f>
        <v>Mar</v>
      </c>
      <c r="G232" s="124">
        <v>3</v>
      </c>
      <c r="H232" s="124">
        <f>'PPTO 2027'!$K$49</f>
        <v>21700000</v>
      </c>
      <c r="I232" s="124">
        <f>'PPTO 2027'!$X$49</f>
        <v>19530000</v>
      </c>
      <c r="J232" s="124">
        <f t="shared" si="9"/>
        <v>-2170000</v>
      </c>
      <c r="K232" s="124">
        <f t="shared" si="10"/>
        <v>2170000</v>
      </c>
      <c r="L232" s="124">
        <f t="shared" si="11"/>
        <v>-0.1</v>
      </c>
      <c r="M232" s="124">
        <f>IFERROR(INDEX(tReal27[[Ene]:[Dic]],MATCH(C232,tReal27[Cuenta],0),3),0)</f>
        <v>18303000</v>
      </c>
    </row>
    <row r="233" spans="1:13" x14ac:dyDescent="0.4">
      <c r="A233" s="124" t="str">
        <f>'PPTO 2027'!$E$49</f>
        <v>Corporativo</v>
      </c>
      <c r="B233" s="124" t="str">
        <f>'PPTO 2027'!$C$49</f>
        <v>Gastos financieros</v>
      </c>
      <c r="C233" s="124" t="str">
        <f>'PPTO 2027'!$B$49</f>
        <v>Intereses financieros</v>
      </c>
      <c r="D233" s="124" t="str">
        <f>'PPTO 2027'!$D$49</f>
        <v>Gasto</v>
      </c>
      <c r="E233" s="124" t="str">
        <f>'PPTO 2027'!$F$49</f>
        <v>Financiero</v>
      </c>
      <c r="F233" s="124" t="str">
        <f>CHOOSE(4,"Ene","Feb","Mar","Abr","May","Jun","Jul","Ago","Sep","Oct","Nov","Dic")</f>
        <v>Abr</v>
      </c>
      <c r="G233" s="124">
        <v>4</v>
      </c>
      <c r="H233" s="124">
        <f>'PPTO 2027'!$L$49</f>
        <v>21700000</v>
      </c>
      <c r="I233" s="124">
        <f>'PPTO 2027'!$Y$49</f>
        <v>19530000</v>
      </c>
      <c r="J233" s="124">
        <f t="shared" si="9"/>
        <v>-2170000</v>
      </c>
      <c r="K233" s="124">
        <f t="shared" si="10"/>
        <v>2170000</v>
      </c>
      <c r="L233" s="124">
        <f t="shared" si="11"/>
        <v>-0.1</v>
      </c>
      <c r="M233" s="124">
        <f>IFERROR(INDEX(tReal27[[Ene]:[Dic]],MATCH(C233,tReal27[Cuenta],0),4),0)</f>
        <v>18854000</v>
      </c>
    </row>
    <row r="234" spans="1:13" x14ac:dyDescent="0.4">
      <c r="A234" s="124" t="str">
        <f>'PPTO 2027'!$E$49</f>
        <v>Corporativo</v>
      </c>
      <c r="B234" s="124" t="str">
        <f>'PPTO 2027'!$C$49</f>
        <v>Gastos financieros</v>
      </c>
      <c r="C234" s="124" t="str">
        <f>'PPTO 2027'!$B$49</f>
        <v>Intereses financieros</v>
      </c>
      <c r="D234" s="124" t="str">
        <f>'PPTO 2027'!$D$49</f>
        <v>Gasto</v>
      </c>
      <c r="E234" s="124" t="str">
        <f>'PPTO 2027'!$F$49</f>
        <v>Financiero</v>
      </c>
      <c r="F234" s="124" t="str">
        <f>CHOOSE(5,"Ene","Feb","Mar","Abr","May","Jun","Jul","Ago","Sep","Oct","Nov","Dic")</f>
        <v>May</v>
      </c>
      <c r="G234" s="124">
        <v>5</v>
      </c>
      <c r="H234" s="124">
        <f>'PPTO 2027'!$M$49</f>
        <v>21700000</v>
      </c>
      <c r="I234" s="124">
        <f>'PPTO 2027'!$Z$49</f>
        <v>19530000</v>
      </c>
      <c r="J234" s="124">
        <f t="shared" si="9"/>
        <v>-2170000</v>
      </c>
      <c r="K234" s="124">
        <f t="shared" si="10"/>
        <v>2170000</v>
      </c>
      <c r="L234" s="124">
        <f t="shared" si="11"/>
        <v>-0.1</v>
      </c>
      <c r="M234" s="124">
        <f>IFERROR(INDEX(tReal27[[Ene]:[Dic]],MATCH(C234,tReal27[Cuenta],0),5),0)</f>
        <v>18517000</v>
      </c>
    </row>
    <row r="235" spans="1:13" x14ac:dyDescent="0.4">
      <c r="A235" s="124" t="str">
        <f>'PPTO 2027'!$E$49</f>
        <v>Corporativo</v>
      </c>
      <c r="B235" s="124" t="str">
        <f>'PPTO 2027'!$C$49</f>
        <v>Gastos financieros</v>
      </c>
      <c r="C235" s="124" t="str">
        <f>'PPTO 2027'!$B$49</f>
        <v>Intereses financieros</v>
      </c>
      <c r="D235" s="124" t="str">
        <f>'PPTO 2027'!$D$49</f>
        <v>Gasto</v>
      </c>
      <c r="E235" s="124" t="str">
        <f>'PPTO 2027'!$F$49</f>
        <v>Financiero</v>
      </c>
      <c r="F235" s="124" t="str">
        <f>CHOOSE(6,"Ene","Feb","Mar","Abr","May","Jun","Jul","Ago","Sep","Oct","Nov","Dic")</f>
        <v>Jun</v>
      </c>
      <c r="G235" s="124">
        <v>6</v>
      </c>
      <c r="H235" s="124">
        <f>'PPTO 2027'!$N$49</f>
        <v>21700000</v>
      </c>
      <c r="I235" s="124">
        <f>'PPTO 2027'!$AA$49</f>
        <v>19530000</v>
      </c>
      <c r="J235" s="124">
        <f t="shared" si="9"/>
        <v>-2170000</v>
      </c>
      <c r="K235" s="124">
        <f t="shared" si="10"/>
        <v>2170000</v>
      </c>
      <c r="L235" s="124">
        <f t="shared" si="11"/>
        <v>-0.1</v>
      </c>
      <c r="M235" s="124">
        <f>IFERROR(INDEX(tReal27[[Ene]:[Dic]],MATCH(C235,tReal27[Cuenta],0),6),0)</f>
        <v>18480000</v>
      </c>
    </row>
    <row r="236" spans="1:13" x14ac:dyDescent="0.4">
      <c r="A236" s="124" t="str">
        <f>'PPTO 2027'!$E$49</f>
        <v>Corporativo</v>
      </c>
      <c r="B236" s="124" t="str">
        <f>'PPTO 2027'!$C$49</f>
        <v>Gastos financieros</v>
      </c>
      <c r="C236" s="124" t="str">
        <f>'PPTO 2027'!$B$49</f>
        <v>Intereses financieros</v>
      </c>
      <c r="D236" s="124" t="str">
        <f>'PPTO 2027'!$D$49</f>
        <v>Gasto</v>
      </c>
      <c r="E236" s="124" t="str">
        <f>'PPTO 2027'!$F$49</f>
        <v>Financiero</v>
      </c>
      <c r="F236" s="124" t="str">
        <f>CHOOSE(7,"Ene","Feb","Mar","Abr","May","Jun","Jul","Ago","Sep","Oct","Nov","Dic")</f>
        <v>Jul</v>
      </c>
      <c r="G236" s="124">
        <v>7</v>
      </c>
      <c r="H236" s="124">
        <f>'PPTO 2027'!$O$49</f>
        <v>21700000</v>
      </c>
      <c r="I236" s="124">
        <f>'PPTO 2027'!$AB$49</f>
        <v>19530000</v>
      </c>
      <c r="J236" s="124">
        <f t="shared" si="9"/>
        <v>-2170000</v>
      </c>
      <c r="K236" s="124">
        <f t="shared" si="10"/>
        <v>2170000</v>
      </c>
      <c r="L236" s="124">
        <f t="shared" si="11"/>
        <v>-0.1</v>
      </c>
      <c r="M236" s="124">
        <f>IFERROR(INDEX(tReal27[[Ene]:[Dic]],MATCH(C236,tReal27[Cuenta],0),7),0)</f>
        <v>18821000</v>
      </c>
    </row>
    <row r="237" spans="1:13" x14ac:dyDescent="0.4">
      <c r="A237" s="124" t="str">
        <f>'PPTO 2027'!$E$49</f>
        <v>Corporativo</v>
      </c>
      <c r="B237" s="124" t="str">
        <f>'PPTO 2027'!$C$49</f>
        <v>Gastos financieros</v>
      </c>
      <c r="C237" s="124" t="str">
        <f>'PPTO 2027'!$B$49</f>
        <v>Intereses financieros</v>
      </c>
      <c r="D237" s="124" t="str">
        <f>'PPTO 2027'!$D$49</f>
        <v>Gasto</v>
      </c>
      <c r="E237" s="124" t="str">
        <f>'PPTO 2027'!$F$49</f>
        <v>Financiero</v>
      </c>
      <c r="F237" s="124" t="str">
        <f>CHOOSE(8,"Ene","Feb","Mar","Abr","May","Jun","Jul","Ago","Sep","Oct","Nov","Dic")</f>
        <v>Ago</v>
      </c>
      <c r="G237" s="124">
        <v>8</v>
      </c>
      <c r="H237" s="124">
        <f>'PPTO 2027'!$P$49</f>
        <v>21700000</v>
      </c>
      <c r="I237" s="124">
        <f>'PPTO 2027'!$AC$49</f>
        <v>19530000</v>
      </c>
      <c r="J237" s="124">
        <f t="shared" si="9"/>
        <v>-2170000</v>
      </c>
      <c r="K237" s="124">
        <f t="shared" si="10"/>
        <v>2170000</v>
      </c>
      <c r="L237" s="124">
        <f t="shared" si="11"/>
        <v>-0.1</v>
      </c>
      <c r="M237" s="124">
        <f>IFERROR(INDEX(tReal27[[Ene]:[Dic]],MATCH(C237,tReal27[Cuenta],0),8),0)</f>
        <v>18386000</v>
      </c>
    </row>
    <row r="238" spans="1:13" x14ac:dyDescent="0.4">
      <c r="A238" s="124" t="str">
        <f>'PPTO 2027'!$E$49</f>
        <v>Corporativo</v>
      </c>
      <c r="B238" s="124" t="str">
        <f>'PPTO 2027'!$C$49</f>
        <v>Gastos financieros</v>
      </c>
      <c r="C238" s="124" t="str">
        <f>'PPTO 2027'!$B$49</f>
        <v>Intereses financieros</v>
      </c>
      <c r="D238" s="124" t="str">
        <f>'PPTO 2027'!$D$49</f>
        <v>Gasto</v>
      </c>
      <c r="E238" s="124" t="str">
        <f>'PPTO 2027'!$F$49</f>
        <v>Financiero</v>
      </c>
      <c r="F238" s="124" t="str">
        <f>CHOOSE(9,"Ene","Feb","Mar","Abr","May","Jun","Jul","Ago","Sep","Oct","Nov","Dic")</f>
        <v>Sep</v>
      </c>
      <c r="G238" s="124">
        <v>9</v>
      </c>
      <c r="H238" s="124">
        <f>'PPTO 2027'!$Q$49</f>
        <v>21700000</v>
      </c>
      <c r="I238" s="124">
        <f>'PPTO 2027'!$AD$49</f>
        <v>19530000</v>
      </c>
      <c r="J238" s="124">
        <f t="shared" si="9"/>
        <v>-2170000</v>
      </c>
      <c r="K238" s="124">
        <f t="shared" si="10"/>
        <v>2170000</v>
      </c>
      <c r="L238" s="124">
        <f t="shared" si="11"/>
        <v>-0.1</v>
      </c>
      <c r="M238" s="124">
        <f>IFERROR(INDEX(tReal27[[Ene]:[Dic]],MATCH(C238,tReal27[Cuenta],0),9),0)</f>
        <v>18149000</v>
      </c>
    </row>
    <row r="239" spans="1:13" x14ac:dyDescent="0.4">
      <c r="A239" s="124" t="str">
        <f>'PPTO 2027'!$E$49</f>
        <v>Corporativo</v>
      </c>
      <c r="B239" s="124" t="str">
        <f>'PPTO 2027'!$C$49</f>
        <v>Gastos financieros</v>
      </c>
      <c r="C239" s="124" t="str">
        <f>'PPTO 2027'!$B$49</f>
        <v>Intereses financieros</v>
      </c>
      <c r="D239" s="124" t="str">
        <f>'PPTO 2027'!$D$49</f>
        <v>Gasto</v>
      </c>
      <c r="E239" s="124" t="str">
        <f>'PPTO 2027'!$F$49</f>
        <v>Financiero</v>
      </c>
      <c r="F239" s="124" t="str">
        <f>CHOOSE(10,"Ene","Feb","Mar","Abr","May","Jun","Jul","Ago","Sep","Oct","Nov","Dic")</f>
        <v>Oct</v>
      </c>
      <c r="G239" s="124">
        <v>10</v>
      </c>
      <c r="H239" s="124">
        <f>'PPTO 2027'!$R$49</f>
        <v>21700000</v>
      </c>
      <c r="I239" s="124">
        <f>'PPTO 2027'!$AE$49</f>
        <v>19530000</v>
      </c>
      <c r="J239" s="124">
        <f t="shared" si="9"/>
        <v>-2170000</v>
      </c>
      <c r="K239" s="124">
        <f t="shared" si="10"/>
        <v>2170000</v>
      </c>
      <c r="L239" s="124">
        <f t="shared" si="11"/>
        <v>-0.1</v>
      </c>
      <c r="M239" s="124">
        <f>IFERROR(INDEX(tReal27[[Ene]:[Dic]],MATCH(C239,tReal27[Cuenta],0),10),0)</f>
        <v>18698000</v>
      </c>
    </row>
    <row r="240" spans="1:13" x14ac:dyDescent="0.4">
      <c r="A240" s="124" t="str">
        <f>'PPTO 2027'!$E$49</f>
        <v>Corporativo</v>
      </c>
      <c r="B240" s="124" t="str">
        <f>'PPTO 2027'!$C$49</f>
        <v>Gastos financieros</v>
      </c>
      <c r="C240" s="124" t="str">
        <f>'PPTO 2027'!$B$49</f>
        <v>Intereses financieros</v>
      </c>
      <c r="D240" s="124" t="str">
        <f>'PPTO 2027'!$D$49</f>
        <v>Gasto</v>
      </c>
      <c r="E240" s="124" t="str">
        <f>'PPTO 2027'!$F$49</f>
        <v>Financiero</v>
      </c>
      <c r="F240" s="124" t="str">
        <f>CHOOSE(11,"Ene","Feb","Mar","Abr","May","Jun","Jul","Ago","Sep","Oct","Nov","Dic")</f>
        <v>Nov</v>
      </c>
      <c r="G240" s="124">
        <v>11</v>
      </c>
      <c r="H240" s="124">
        <f>'PPTO 2027'!$S$49</f>
        <v>21700000</v>
      </c>
      <c r="I240" s="124">
        <f>'PPTO 2027'!$AF$49</f>
        <v>19530000</v>
      </c>
      <c r="J240" s="124">
        <f t="shared" si="9"/>
        <v>-2170000</v>
      </c>
      <c r="K240" s="124">
        <f t="shared" si="10"/>
        <v>2170000</v>
      </c>
      <c r="L240" s="124">
        <f t="shared" si="11"/>
        <v>-0.1</v>
      </c>
      <c r="M240" s="124">
        <f>IFERROR(INDEX(tReal27[[Ene]:[Dic]],MATCH(C240,tReal27[Cuenta],0),11),0)</f>
        <v>18703000</v>
      </c>
    </row>
    <row r="241" spans="1:13" x14ac:dyDescent="0.4">
      <c r="A241" s="124" t="str">
        <f>'PPTO 2027'!$E$49</f>
        <v>Corporativo</v>
      </c>
      <c r="B241" s="124" t="str">
        <f>'PPTO 2027'!$C$49</f>
        <v>Gastos financieros</v>
      </c>
      <c r="C241" s="124" t="str">
        <f>'PPTO 2027'!$B$49</f>
        <v>Intereses financieros</v>
      </c>
      <c r="D241" s="124" t="str">
        <f>'PPTO 2027'!$D$49</f>
        <v>Gasto</v>
      </c>
      <c r="E241" s="124" t="str">
        <f>'PPTO 2027'!$F$49</f>
        <v>Financiero</v>
      </c>
      <c r="F241" s="124" t="str">
        <f>CHOOSE(12,"Ene","Feb","Mar","Abr","May","Jun","Jul","Ago","Sep","Oct","Nov","Dic")</f>
        <v>Dic</v>
      </c>
      <c r="G241" s="124">
        <v>12</v>
      </c>
      <c r="H241" s="124">
        <f>'PPTO 2027'!$T$49</f>
        <v>21300000</v>
      </c>
      <c r="I241" s="124">
        <f>'PPTO 2027'!$AG$49</f>
        <v>19170000</v>
      </c>
      <c r="J241" s="124">
        <f t="shared" si="9"/>
        <v>-2130000</v>
      </c>
      <c r="K241" s="124">
        <f t="shared" si="10"/>
        <v>2130000</v>
      </c>
      <c r="L241" s="124">
        <f t="shared" si="11"/>
        <v>-0.1</v>
      </c>
      <c r="M241" s="124">
        <f>IFERROR(INDEX(tReal27[[Ene]:[Dic]],MATCH(C241,tReal27[Cuenta],0),12),0)</f>
        <v>18676000</v>
      </c>
    </row>
    <row r="242" spans="1:13" x14ac:dyDescent="0.4">
      <c r="A242" s="124" t="str">
        <f>'PPTO 2027'!$E$50</f>
        <v>Corporativo</v>
      </c>
      <c r="B242" s="124" t="str">
        <f>'PPTO 2027'!$C$50</f>
        <v>Gastos financieros</v>
      </c>
      <c r="C242" s="124" t="str">
        <f>'PPTO 2027'!$B$50</f>
        <v>Comisiones bancarias</v>
      </c>
      <c r="D242" s="124" t="str">
        <f>'PPTO 2027'!$D$50</f>
        <v>Gasto</v>
      </c>
      <c r="E242" s="124" t="str">
        <f>'PPTO 2027'!$F$50</f>
        <v>IPC</v>
      </c>
      <c r="F242" s="124" t="str">
        <f>CHOOSE(1,"Ene","Feb","Mar","Abr","May","Jun","Jul","Ago","Sep","Oct","Nov","Dic")</f>
        <v>Ene</v>
      </c>
      <c r="G242" s="124">
        <v>1</v>
      </c>
      <c r="H242" s="124">
        <f>'PPTO 2027'!$I$50</f>
        <v>4000000</v>
      </c>
      <c r="I242" s="124">
        <f>'PPTO 2027'!$V$50</f>
        <v>4160000</v>
      </c>
      <c r="J242" s="124">
        <f t="shared" si="9"/>
        <v>160000</v>
      </c>
      <c r="K242" s="124">
        <f t="shared" si="10"/>
        <v>160000</v>
      </c>
      <c r="L242" s="124">
        <f t="shared" si="11"/>
        <v>0.04</v>
      </c>
      <c r="M242" s="124">
        <f>IFERROR(INDEX(tReal27[[Ene]:[Dic]],MATCH(C242,tReal27[Cuenta],0),1),0)</f>
        <v>4168000</v>
      </c>
    </row>
    <row r="243" spans="1:13" x14ac:dyDescent="0.4">
      <c r="A243" s="124" t="str">
        <f>'PPTO 2027'!$E$50</f>
        <v>Corporativo</v>
      </c>
      <c r="B243" s="124" t="str">
        <f>'PPTO 2027'!$C$50</f>
        <v>Gastos financieros</v>
      </c>
      <c r="C243" s="124" t="str">
        <f>'PPTO 2027'!$B$50</f>
        <v>Comisiones bancarias</v>
      </c>
      <c r="D243" s="124" t="str">
        <f>'PPTO 2027'!$D$50</f>
        <v>Gasto</v>
      </c>
      <c r="E243" s="124" t="str">
        <f>'PPTO 2027'!$F$50</f>
        <v>IPC</v>
      </c>
      <c r="F243" s="124" t="str">
        <f>CHOOSE(2,"Ene","Feb","Mar","Abr","May","Jun","Jul","Ago","Sep","Oct","Nov","Dic")</f>
        <v>Feb</v>
      </c>
      <c r="G243" s="124">
        <v>2</v>
      </c>
      <c r="H243" s="124">
        <f>'PPTO 2027'!$J$50</f>
        <v>4000000</v>
      </c>
      <c r="I243" s="124">
        <f>'PPTO 2027'!$W$50</f>
        <v>4160000</v>
      </c>
      <c r="J243" s="124">
        <f t="shared" si="9"/>
        <v>160000</v>
      </c>
      <c r="K243" s="124">
        <f t="shared" si="10"/>
        <v>160000</v>
      </c>
      <c r="L243" s="124">
        <f t="shared" si="11"/>
        <v>0.04</v>
      </c>
      <c r="M243" s="124">
        <f>IFERROR(INDEX(tReal27[[Ene]:[Dic]],MATCH(C243,tReal27[Cuenta],0),2),0)</f>
        <v>4158000</v>
      </c>
    </row>
    <row r="244" spans="1:13" x14ac:dyDescent="0.4">
      <c r="A244" s="124" t="str">
        <f>'PPTO 2027'!$E$50</f>
        <v>Corporativo</v>
      </c>
      <c r="B244" s="124" t="str">
        <f>'PPTO 2027'!$C$50</f>
        <v>Gastos financieros</v>
      </c>
      <c r="C244" s="124" t="str">
        <f>'PPTO 2027'!$B$50</f>
        <v>Comisiones bancarias</v>
      </c>
      <c r="D244" s="124" t="str">
        <f>'PPTO 2027'!$D$50</f>
        <v>Gasto</v>
      </c>
      <c r="E244" s="124" t="str">
        <f>'PPTO 2027'!$F$50</f>
        <v>IPC</v>
      </c>
      <c r="F244" s="124" t="str">
        <f>CHOOSE(3,"Ene","Feb","Mar","Abr","May","Jun","Jul","Ago","Sep","Oct","Nov","Dic")</f>
        <v>Mar</v>
      </c>
      <c r="G244" s="124">
        <v>3</v>
      </c>
      <c r="H244" s="124">
        <f>'PPTO 2027'!$K$50</f>
        <v>4000000</v>
      </c>
      <c r="I244" s="124">
        <f>'PPTO 2027'!$X$50</f>
        <v>4160000</v>
      </c>
      <c r="J244" s="124">
        <f t="shared" si="9"/>
        <v>160000</v>
      </c>
      <c r="K244" s="124">
        <f t="shared" si="10"/>
        <v>160000</v>
      </c>
      <c r="L244" s="124">
        <f t="shared" si="11"/>
        <v>0.04</v>
      </c>
      <c r="M244" s="124">
        <f>IFERROR(INDEX(tReal27[[Ene]:[Dic]],MATCH(C244,tReal27[Cuenta],0),3),0)</f>
        <v>4296000</v>
      </c>
    </row>
    <row r="245" spans="1:13" x14ac:dyDescent="0.4">
      <c r="A245" s="124" t="str">
        <f>'PPTO 2027'!$E$50</f>
        <v>Corporativo</v>
      </c>
      <c r="B245" s="124" t="str">
        <f>'PPTO 2027'!$C$50</f>
        <v>Gastos financieros</v>
      </c>
      <c r="C245" s="124" t="str">
        <f>'PPTO 2027'!$B$50</f>
        <v>Comisiones bancarias</v>
      </c>
      <c r="D245" s="124" t="str">
        <f>'PPTO 2027'!$D$50</f>
        <v>Gasto</v>
      </c>
      <c r="E245" s="124" t="str">
        <f>'PPTO 2027'!$F$50</f>
        <v>IPC</v>
      </c>
      <c r="F245" s="124" t="str">
        <f>CHOOSE(4,"Ene","Feb","Mar","Abr","May","Jun","Jul","Ago","Sep","Oct","Nov","Dic")</f>
        <v>Abr</v>
      </c>
      <c r="G245" s="124">
        <v>4</v>
      </c>
      <c r="H245" s="124">
        <f>'PPTO 2027'!$L$50</f>
        <v>4000000</v>
      </c>
      <c r="I245" s="124">
        <f>'PPTO 2027'!$Y$50</f>
        <v>4160000</v>
      </c>
      <c r="J245" s="124">
        <f t="shared" si="9"/>
        <v>160000</v>
      </c>
      <c r="K245" s="124">
        <f t="shared" si="10"/>
        <v>160000</v>
      </c>
      <c r="L245" s="124">
        <f t="shared" si="11"/>
        <v>0.04</v>
      </c>
      <c r="M245" s="124">
        <f>IFERROR(INDEX(tReal27[[Ene]:[Dic]],MATCH(C245,tReal27[Cuenta],0),4),0)</f>
        <v>4230000</v>
      </c>
    </row>
    <row r="246" spans="1:13" x14ac:dyDescent="0.4">
      <c r="A246" s="124" t="str">
        <f>'PPTO 2027'!$E$50</f>
        <v>Corporativo</v>
      </c>
      <c r="B246" s="124" t="str">
        <f>'PPTO 2027'!$C$50</f>
        <v>Gastos financieros</v>
      </c>
      <c r="C246" s="124" t="str">
        <f>'PPTO 2027'!$B$50</f>
        <v>Comisiones bancarias</v>
      </c>
      <c r="D246" s="124" t="str">
        <f>'PPTO 2027'!$D$50</f>
        <v>Gasto</v>
      </c>
      <c r="E246" s="124" t="str">
        <f>'PPTO 2027'!$F$50</f>
        <v>IPC</v>
      </c>
      <c r="F246" s="124" t="str">
        <f>CHOOSE(5,"Ene","Feb","Mar","Abr","May","Jun","Jul","Ago","Sep","Oct","Nov","Dic")</f>
        <v>May</v>
      </c>
      <c r="G246" s="124">
        <v>5</v>
      </c>
      <c r="H246" s="124">
        <f>'PPTO 2027'!$M$50</f>
        <v>4000000</v>
      </c>
      <c r="I246" s="124">
        <f>'PPTO 2027'!$Z$50</f>
        <v>4160000</v>
      </c>
      <c r="J246" s="124">
        <f t="shared" si="9"/>
        <v>160000</v>
      </c>
      <c r="K246" s="124">
        <f t="shared" si="10"/>
        <v>160000</v>
      </c>
      <c r="L246" s="124">
        <f t="shared" si="11"/>
        <v>0.04</v>
      </c>
      <c r="M246" s="124">
        <f>IFERROR(INDEX(tReal27[[Ene]:[Dic]],MATCH(C246,tReal27[Cuenta],0),5),0)</f>
        <v>4131000</v>
      </c>
    </row>
    <row r="247" spans="1:13" x14ac:dyDescent="0.4">
      <c r="A247" s="124" t="str">
        <f>'PPTO 2027'!$E$50</f>
        <v>Corporativo</v>
      </c>
      <c r="B247" s="124" t="str">
        <f>'PPTO 2027'!$C$50</f>
        <v>Gastos financieros</v>
      </c>
      <c r="C247" s="124" t="str">
        <f>'PPTO 2027'!$B$50</f>
        <v>Comisiones bancarias</v>
      </c>
      <c r="D247" s="124" t="str">
        <f>'PPTO 2027'!$D$50</f>
        <v>Gasto</v>
      </c>
      <c r="E247" s="124" t="str">
        <f>'PPTO 2027'!$F$50</f>
        <v>IPC</v>
      </c>
      <c r="F247" s="124" t="str">
        <f>CHOOSE(6,"Ene","Feb","Mar","Abr","May","Jun","Jul","Ago","Sep","Oct","Nov","Dic")</f>
        <v>Jun</v>
      </c>
      <c r="G247" s="124">
        <v>6</v>
      </c>
      <c r="H247" s="124">
        <f>'PPTO 2027'!$N$50</f>
        <v>4000000</v>
      </c>
      <c r="I247" s="124">
        <f>'PPTO 2027'!$AA$50</f>
        <v>4160000</v>
      </c>
      <c r="J247" s="124">
        <f t="shared" si="9"/>
        <v>160000</v>
      </c>
      <c r="K247" s="124">
        <f t="shared" si="10"/>
        <v>160000</v>
      </c>
      <c r="L247" s="124">
        <f t="shared" si="11"/>
        <v>0.04</v>
      </c>
      <c r="M247" s="124">
        <f>IFERROR(INDEX(tReal27[[Ene]:[Dic]],MATCH(C247,tReal27[Cuenta],0),6),0)</f>
        <v>4244000</v>
      </c>
    </row>
    <row r="248" spans="1:13" x14ac:dyDescent="0.4">
      <c r="A248" s="124" t="str">
        <f>'PPTO 2027'!$E$50</f>
        <v>Corporativo</v>
      </c>
      <c r="B248" s="124" t="str">
        <f>'PPTO 2027'!$C$50</f>
        <v>Gastos financieros</v>
      </c>
      <c r="C248" s="124" t="str">
        <f>'PPTO 2027'!$B$50</f>
        <v>Comisiones bancarias</v>
      </c>
      <c r="D248" s="124" t="str">
        <f>'PPTO 2027'!$D$50</f>
        <v>Gasto</v>
      </c>
      <c r="E248" s="124" t="str">
        <f>'PPTO 2027'!$F$50</f>
        <v>IPC</v>
      </c>
      <c r="F248" s="124" t="str">
        <f>CHOOSE(7,"Ene","Feb","Mar","Abr","May","Jun","Jul","Ago","Sep","Oct","Nov","Dic")</f>
        <v>Jul</v>
      </c>
      <c r="G248" s="124">
        <v>7</v>
      </c>
      <c r="H248" s="124">
        <f>'PPTO 2027'!$O$50</f>
        <v>4000000</v>
      </c>
      <c r="I248" s="124">
        <f>'PPTO 2027'!$AB$50</f>
        <v>4160000</v>
      </c>
      <c r="J248" s="124">
        <f t="shared" si="9"/>
        <v>160000</v>
      </c>
      <c r="K248" s="124">
        <f t="shared" si="10"/>
        <v>160000</v>
      </c>
      <c r="L248" s="124">
        <f t="shared" si="11"/>
        <v>0.04</v>
      </c>
      <c r="M248" s="124">
        <f>IFERROR(INDEX(tReal27[[Ene]:[Dic]],MATCH(C248,tReal27[Cuenta],0),7),0)</f>
        <v>4178000</v>
      </c>
    </row>
    <row r="249" spans="1:13" x14ac:dyDescent="0.4">
      <c r="A249" s="124" t="str">
        <f>'PPTO 2027'!$E$50</f>
        <v>Corporativo</v>
      </c>
      <c r="B249" s="124" t="str">
        <f>'PPTO 2027'!$C$50</f>
        <v>Gastos financieros</v>
      </c>
      <c r="C249" s="124" t="str">
        <f>'PPTO 2027'!$B$50</f>
        <v>Comisiones bancarias</v>
      </c>
      <c r="D249" s="124" t="str">
        <f>'PPTO 2027'!$D$50</f>
        <v>Gasto</v>
      </c>
      <c r="E249" s="124" t="str">
        <f>'PPTO 2027'!$F$50</f>
        <v>IPC</v>
      </c>
      <c r="F249" s="124" t="str">
        <f>CHOOSE(8,"Ene","Feb","Mar","Abr","May","Jun","Jul","Ago","Sep","Oct","Nov","Dic")</f>
        <v>Ago</v>
      </c>
      <c r="G249" s="124">
        <v>8</v>
      </c>
      <c r="H249" s="124">
        <f>'PPTO 2027'!$P$50</f>
        <v>4000000</v>
      </c>
      <c r="I249" s="124">
        <f>'PPTO 2027'!$AC$50</f>
        <v>4160000</v>
      </c>
      <c r="J249" s="124">
        <f t="shared" si="9"/>
        <v>160000</v>
      </c>
      <c r="K249" s="124">
        <f t="shared" si="10"/>
        <v>160000</v>
      </c>
      <c r="L249" s="124">
        <f t="shared" si="11"/>
        <v>0.04</v>
      </c>
      <c r="M249" s="124">
        <f>IFERROR(INDEX(tReal27[[Ene]:[Dic]],MATCH(C249,tReal27[Cuenta],0),8),0)</f>
        <v>4099000</v>
      </c>
    </row>
    <row r="250" spans="1:13" x14ac:dyDescent="0.4">
      <c r="A250" s="124" t="str">
        <f>'PPTO 2027'!$E$50</f>
        <v>Corporativo</v>
      </c>
      <c r="B250" s="124" t="str">
        <f>'PPTO 2027'!$C$50</f>
        <v>Gastos financieros</v>
      </c>
      <c r="C250" s="124" t="str">
        <f>'PPTO 2027'!$B$50</f>
        <v>Comisiones bancarias</v>
      </c>
      <c r="D250" s="124" t="str">
        <f>'PPTO 2027'!$D$50</f>
        <v>Gasto</v>
      </c>
      <c r="E250" s="124" t="str">
        <f>'PPTO 2027'!$F$50</f>
        <v>IPC</v>
      </c>
      <c r="F250" s="124" t="str">
        <f>CHOOSE(9,"Ene","Feb","Mar","Abr","May","Jun","Jul","Ago","Sep","Oct","Nov","Dic")</f>
        <v>Sep</v>
      </c>
      <c r="G250" s="124">
        <v>9</v>
      </c>
      <c r="H250" s="124">
        <f>'PPTO 2027'!$Q$50</f>
        <v>4000000</v>
      </c>
      <c r="I250" s="124">
        <f>'PPTO 2027'!$AD$50</f>
        <v>4160000</v>
      </c>
      <c r="J250" s="124">
        <f t="shared" si="9"/>
        <v>160000</v>
      </c>
      <c r="K250" s="124">
        <f t="shared" si="10"/>
        <v>160000</v>
      </c>
      <c r="L250" s="124">
        <f t="shared" si="11"/>
        <v>0.04</v>
      </c>
      <c r="M250" s="124">
        <f>IFERROR(INDEX(tReal27[[Ene]:[Dic]],MATCH(C250,tReal27[Cuenta],0),9),0)</f>
        <v>4202000</v>
      </c>
    </row>
    <row r="251" spans="1:13" x14ac:dyDescent="0.4">
      <c r="A251" s="124" t="str">
        <f>'PPTO 2027'!$E$50</f>
        <v>Corporativo</v>
      </c>
      <c r="B251" s="124" t="str">
        <f>'PPTO 2027'!$C$50</f>
        <v>Gastos financieros</v>
      </c>
      <c r="C251" s="124" t="str">
        <f>'PPTO 2027'!$B$50</f>
        <v>Comisiones bancarias</v>
      </c>
      <c r="D251" s="124" t="str">
        <f>'PPTO 2027'!$D$50</f>
        <v>Gasto</v>
      </c>
      <c r="E251" s="124" t="str">
        <f>'PPTO 2027'!$F$50</f>
        <v>IPC</v>
      </c>
      <c r="F251" s="124" t="str">
        <f>CHOOSE(10,"Ene","Feb","Mar","Abr","May","Jun","Jul","Ago","Sep","Oct","Nov","Dic")</f>
        <v>Oct</v>
      </c>
      <c r="G251" s="124">
        <v>10</v>
      </c>
      <c r="H251" s="124">
        <f>'PPTO 2027'!$R$50</f>
        <v>4000000</v>
      </c>
      <c r="I251" s="124">
        <f>'PPTO 2027'!$AE$50</f>
        <v>4160000</v>
      </c>
      <c r="J251" s="124">
        <f t="shared" si="9"/>
        <v>160000</v>
      </c>
      <c r="K251" s="124">
        <f t="shared" si="10"/>
        <v>160000</v>
      </c>
      <c r="L251" s="124">
        <f t="shared" si="11"/>
        <v>0.04</v>
      </c>
      <c r="M251" s="124">
        <f>IFERROR(INDEX(tReal27[[Ene]:[Dic]],MATCH(C251,tReal27[Cuenta],0),10),0)</f>
        <v>4033000</v>
      </c>
    </row>
    <row r="252" spans="1:13" x14ac:dyDescent="0.4">
      <c r="A252" s="124" t="str">
        <f>'PPTO 2027'!$E$50</f>
        <v>Corporativo</v>
      </c>
      <c r="B252" s="124" t="str">
        <f>'PPTO 2027'!$C$50</f>
        <v>Gastos financieros</v>
      </c>
      <c r="C252" s="124" t="str">
        <f>'PPTO 2027'!$B$50</f>
        <v>Comisiones bancarias</v>
      </c>
      <c r="D252" s="124" t="str">
        <f>'PPTO 2027'!$D$50</f>
        <v>Gasto</v>
      </c>
      <c r="E252" s="124" t="str">
        <f>'PPTO 2027'!$F$50</f>
        <v>IPC</v>
      </c>
      <c r="F252" s="124" t="str">
        <f>CHOOSE(11,"Ene","Feb","Mar","Abr","May","Jun","Jul","Ago","Sep","Oct","Nov","Dic")</f>
        <v>Nov</v>
      </c>
      <c r="G252" s="124">
        <v>11</v>
      </c>
      <c r="H252" s="124">
        <f>'PPTO 2027'!$S$50</f>
        <v>4000000</v>
      </c>
      <c r="I252" s="124">
        <f>'PPTO 2027'!$AF$50</f>
        <v>4160000</v>
      </c>
      <c r="J252" s="124">
        <f t="shared" si="9"/>
        <v>160000</v>
      </c>
      <c r="K252" s="124">
        <f t="shared" si="10"/>
        <v>160000</v>
      </c>
      <c r="L252" s="124">
        <f t="shared" si="11"/>
        <v>0.04</v>
      </c>
      <c r="M252" s="124">
        <f>IFERROR(INDEX(tReal27[[Ene]:[Dic]],MATCH(C252,tReal27[Cuenta],0),11),0)</f>
        <v>4137000</v>
      </c>
    </row>
    <row r="253" spans="1:13" x14ac:dyDescent="0.4">
      <c r="A253" s="124" t="str">
        <f>'PPTO 2027'!$E$50</f>
        <v>Corporativo</v>
      </c>
      <c r="B253" s="124" t="str">
        <f>'PPTO 2027'!$C$50</f>
        <v>Gastos financieros</v>
      </c>
      <c r="C253" s="124" t="str">
        <f>'PPTO 2027'!$B$50</f>
        <v>Comisiones bancarias</v>
      </c>
      <c r="D253" s="124" t="str">
        <f>'PPTO 2027'!$D$50</f>
        <v>Gasto</v>
      </c>
      <c r="E253" s="124" t="str">
        <f>'PPTO 2027'!$F$50</f>
        <v>IPC</v>
      </c>
      <c r="F253" s="124" t="str">
        <f>CHOOSE(12,"Ene","Feb","Mar","Abr","May","Jun","Jul","Ago","Sep","Oct","Nov","Dic")</f>
        <v>Dic</v>
      </c>
      <c r="G253" s="124">
        <v>12</v>
      </c>
      <c r="H253" s="124">
        <f>'PPTO 2027'!$T$50</f>
        <v>4000000</v>
      </c>
      <c r="I253" s="124">
        <f>'PPTO 2027'!$AG$50</f>
        <v>4160000</v>
      </c>
      <c r="J253" s="124">
        <f t="shared" si="9"/>
        <v>160000</v>
      </c>
      <c r="K253" s="124">
        <f t="shared" si="10"/>
        <v>160000</v>
      </c>
      <c r="L253" s="124">
        <f t="shared" si="11"/>
        <v>0.04</v>
      </c>
      <c r="M253" s="124">
        <f>IFERROR(INDEX(tReal27[[Ene]:[Dic]],MATCH(C253,tReal27[Cuenta],0),12),0)</f>
        <v>4217000</v>
      </c>
    </row>
    <row r="254" spans="1:13" x14ac:dyDescent="0.4">
      <c r="A254" s="124" t="str">
        <f>'PPTO 2027'!$E$53</f>
        <v>Corporativo</v>
      </c>
      <c r="B254" s="124" t="str">
        <f>'PPTO 2027'!$C$53</f>
        <v>Otros ingresos no operacionales</v>
      </c>
      <c r="C254" s="124" t="str">
        <f>'PPTO 2027'!$B$53</f>
        <v>Ingresos por arrendamientos</v>
      </c>
      <c r="D254" s="124" t="str">
        <f>'PPTO 2027'!$D$53</f>
        <v>Ingreso</v>
      </c>
      <c r="E254" s="124" t="str">
        <f>'PPTO 2027'!$F$53</f>
        <v>IPC</v>
      </c>
      <c r="F254" s="124" t="str">
        <f>CHOOSE(1,"Ene","Feb","Mar","Abr","May","Jun","Jul","Ago","Sep","Oct","Nov","Dic")</f>
        <v>Ene</v>
      </c>
      <c r="G254" s="124">
        <v>1</v>
      </c>
      <c r="H254" s="124">
        <f>'PPTO 2027'!$I$53</f>
        <v>5000000</v>
      </c>
      <c r="I254" s="124">
        <f>'PPTO 2027'!$V$53</f>
        <v>5200000</v>
      </c>
      <c r="J254" s="124">
        <f t="shared" si="9"/>
        <v>200000</v>
      </c>
      <c r="K254" s="124">
        <f t="shared" si="10"/>
        <v>200000</v>
      </c>
      <c r="L254" s="124">
        <f t="shared" si="11"/>
        <v>0.04</v>
      </c>
      <c r="M254" s="124">
        <f>IFERROR(INDEX(tReal27[[Ene]:[Dic]],MATCH(C254,tReal27[Cuenta],0),1),0)</f>
        <v>5134000</v>
      </c>
    </row>
    <row r="255" spans="1:13" x14ac:dyDescent="0.4">
      <c r="A255" s="124" t="str">
        <f>'PPTO 2027'!$E$53</f>
        <v>Corporativo</v>
      </c>
      <c r="B255" s="124" t="str">
        <f>'PPTO 2027'!$C$53</f>
        <v>Otros ingresos no operacionales</v>
      </c>
      <c r="C255" s="124" t="str">
        <f>'PPTO 2027'!$B$53</f>
        <v>Ingresos por arrendamientos</v>
      </c>
      <c r="D255" s="124" t="str">
        <f>'PPTO 2027'!$D$53</f>
        <v>Ingreso</v>
      </c>
      <c r="E255" s="124" t="str">
        <f>'PPTO 2027'!$F$53</f>
        <v>IPC</v>
      </c>
      <c r="F255" s="124" t="str">
        <f>CHOOSE(2,"Ene","Feb","Mar","Abr","May","Jun","Jul","Ago","Sep","Oct","Nov","Dic")</f>
        <v>Feb</v>
      </c>
      <c r="G255" s="124">
        <v>2</v>
      </c>
      <c r="H255" s="124">
        <f>'PPTO 2027'!$J$53</f>
        <v>5000000</v>
      </c>
      <c r="I255" s="124">
        <f>'PPTO 2027'!$W$53</f>
        <v>5200000</v>
      </c>
      <c r="J255" s="124">
        <f t="shared" si="9"/>
        <v>200000</v>
      </c>
      <c r="K255" s="124">
        <f t="shared" si="10"/>
        <v>200000</v>
      </c>
      <c r="L255" s="124">
        <f t="shared" si="11"/>
        <v>0.04</v>
      </c>
      <c r="M255" s="124">
        <f>IFERROR(INDEX(tReal27[[Ene]:[Dic]],MATCH(C255,tReal27[Cuenta],0),2),0)</f>
        <v>5273000</v>
      </c>
    </row>
    <row r="256" spans="1:13" x14ac:dyDescent="0.4">
      <c r="A256" s="124" t="str">
        <f>'PPTO 2027'!$E$53</f>
        <v>Corporativo</v>
      </c>
      <c r="B256" s="124" t="str">
        <f>'PPTO 2027'!$C$53</f>
        <v>Otros ingresos no operacionales</v>
      </c>
      <c r="C256" s="124" t="str">
        <f>'PPTO 2027'!$B$53</f>
        <v>Ingresos por arrendamientos</v>
      </c>
      <c r="D256" s="124" t="str">
        <f>'PPTO 2027'!$D$53</f>
        <v>Ingreso</v>
      </c>
      <c r="E256" s="124" t="str">
        <f>'PPTO 2027'!$F$53</f>
        <v>IPC</v>
      </c>
      <c r="F256" s="124" t="str">
        <f>CHOOSE(3,"Ene","Feb","Mar","Abr","May","Jun","Jul","Ago","Sep","Oct","Nov","Dic")</f>
        <v>Mar</v>
      </c>
      <c r="G256" s="124">
        <v>3</v>
      </c>
      <c r="H256" s="124">
        <f>'PPTO 2027'!$K$53</f>
        <v>5000000</v>
      </c>
      <c r="I256" s="124">
        <f>'PPTO 2027'!$X$53</f>
        <v>5200000</v>
      </c>
      <c r="J256" s="124">
        <f t="shared" si="9"/>
        <v>200000</v>
      </c>
      <c r="K256" s="124">
        <f t="shared" si="10"/>
        <v>200000</v>
      </c>
      <c r="L256" s="124">
        <f t="shared" si="11"/>
        <v>0.04</v>
      </c>
      <c r="M256" s="124">
        <f>IFERROR(INDEX(tReal27[[Ene]:[Dic]],MATCH(C256,tReal27[Cuenta],0),3),0)</f>
        <v>5129000</v>
      </c>
    </row>
    <row r="257" spans="1:13" x14ac:dyDescent="0.4">
      <c r="A257" s="124" t="str">
        <f>'PPTO 2027'!$E$53</f>
        <v>Corporativo</v>
      </c>
      <c r="B257" s="124" t="str">
        <f>'PPTO 2027'!$C$53</f>
        <v>Otros ingresos no operacionales</v>
      </c>
      <c r="C257" s="124" t="str">
        <f>'PPTO 2027'!$B$53</f>
        <v>Ingresos por arrendamientos</v>
      </c>
      <c r="D257" s="124" t="str">
        <f>'PPTO 2027'!$D$53</f>
        <v>Ingreso</v>
      </c>
      <c r="E257" s="124" t="str">
        <f>'PPTO 2027'!$F$53</f>
        <v>IPC</v>
      </c>
      <c r="F257" s="124" t="str">
        <f>CHOOSE(4,"Ene","Feb","Mar","Abr","May","Jun","Jul","Ago","Sep","Oct","Nov","Dic")</f>
        <v>Abr</v>
      </c>
      <c r="G257" s="124">
        <v>4</v>
      </c>
      <c r="H257" s="124">
        <f>'PPTO 2027'!$L$53</f>
        <v>5000000</v>
      </c>
      <c r="I257" s="124">
        <f>'PPTO 2027'!$Y$53</f>
        <v>5200000</v>
      </c>
      <c r="J257" s="124">
        <f t="shared" si="9"/>
        <v>200000</v>
      </c>
      <c r="K257" s="124">
        <f t="shared" si="10"/>
        <v>200000</v>
      </c>
      <c r="L257" s="124">
        <f t="shared" si="11"/>
        <v>0.04</v>
      </c>
      <c r="M257" s="124">
        <f>IFERROR(INDEX(tReal27[[Ene]:[Dic]],MATCH(C257,tReal27[Cuenta],0),4),0)</f>
        <v>5232000</v>
      </c>
    </row>
    <row r="258" spans="1:13" x14ac:dyDescent="0.4">
      <c r="A258" s="124" t="str">
        <f>'PPTO 2027'!$E$53</f>
        <v>Corporativo</v>
      </c>
      <c r="B258" s="124" t="str">
        <f>'PPTO 2027'!$C$53</f>
        <v>Otros ingresos no operacionales</v>
      </c>
      <c r="C258" s="124" t="str">
        <f>'PPTO 2027'!$B$53</f>
        <v>Ingresos por arrendamientos</v>
      </c>
      <c r="D258" s="124" t="str">
        <f>'PPTO 2027'!$D$53</f>
        <v>Ingreso</v>
      </c>
      <c r="E258" s="124" t="str">
        <f>'PPTO 2027'!$F$53</f>
        <v>IPC</v>
      </c>
      <c r="F258" s="124" t="str">
        <f>CHOOSE(5,"Ene","Feb","Mar","Abr","May","Jun","Jul","Ago","Sep","Oct","Nov","Dic")</f>
        <v>May</v>
      </c>
      <c r="G258" s="124">
        <v>5</v>
      </c>
      <c r="H258" s="124">
        <f>'PPTO 2027'!$M$53</f>
        <v>5000000</v>
      </c>
      <c r="I258" s="124">
        <f>'PPTO 2027'!$Z$53</f>
        <v>5200000</v>
      </c>
      <c r="J258" s="124">
        <f t="shared" ref="J258:J277" si="12">I258-H258</f>
        <v>200000</v>
      </c>
      <c r="K258" s="124">
        <f t="shared" ref="K258:K277" si="13">ABS(J258)</f>
        <v>200000</v>
      </c>
      <c r="L258" s="124">
        <f t="shared" ref="L258:L277" si="14">IF(H258=0,"",J258/H258)</f>
        <v>0.04</v>
      </c>
      <c r="M258" s="124">
        <f>IFERROR(INDEX(tReal27[[Ene]:[Dic]],MATCH(C258,tReal27[Cuenta],0),5),0)</f>
        <v>5335000</v>
      </c>
    </row>
    <row r="259" spans="1:13" x14ac:dyDescent="0.4">
      <c r="A259" s="124" t="str">
        <f>'PPTO 2027'!$E$53</f>
        <v>Corporativo</v>
      </c>
      <c r="B259" s="124" t="str">
        <f>'PPTO 2027'!$C$53</f>
        <v>Otros ingresos no operacionales</v>
      </c>
      <c r="C259" s="124" t="str">
        <f>'PPTO 2027'!$B$53</f>
        <v>Ingresos por arrendamientos</v>
      </c>
      <c r="D259" s="124" t="str">
        <f>'PPTO 2027'!$D$53</f>
        <v>Ingreso</v>
      </c>
      <c r="E259" s="124" t="str">
        <f>'PPTO 2027'!$F$53</f>
        <v>IPC</v>
      </c>
      <c r="F259" s="124" t="str">
        <f>CHOOSE(6,"Ene","Feb","Mar","Abr","May","Jun","Jul","Ago","Sep","Oct","Nov","Dic")</f>
        <v>Jun</v>
      </c>
      <c r="G259" s="124">
        <v>6</v>
      </c>
      <c r="H259" s="124">
        <f>'PPTO 2027'!$N$53</f>
        <v>5000000</v>
      </c>
      <c r="I259" s="124">
        <f>'PPTO 2027'!$AA$53</f>
        <v>5200000</v>
      </c>
      <c r="J259" s="124">
        <f t="shared" si="12"/>
        <v>200000</v>
      </c>
      <c r="K259" s="124">
        <f t="shared" si="13"/>
        <v>200000</v>
      </c>
      <c r="L259" s="124">
        <f t="shared" si="14"/>
        <v>0.04</v>
      </c>
      <c r="M259" s="124">
        <f>IFERROR(INDEX(tReal27[[Ene]:[Dic]],MATCH(C259,tReal27[Cuenta],0),6),0)</f>
        <v>5132000</v>
      </c>
    </row>
    <row r="260" spans="1:13" x14ac:dyDescent="0.4">
      <c r="A260" s="124" t="str">
        <f>'PPTO 2027'!$E$53</f>
        <v>Corporativo</v>
      </c>
      <c r="B260" s="124" t="str">
        <f>'PPTO 2027'!$C$53</f>
        <v>Otros ingresos no operacionales</v>
      </c>
      <c r="C260" s="124" t="str">
        <f>'PPTO 2027'!$B$53</f>
        <v>Ingresos por arrendamientos</v>
      </c>
      <c r="D260" s="124" t="str">
        <f>'PPTO 2027'!$D$53</f>
        <v>Ingreso</v>
      </c>
      <c r="E260" s="124" t="str">
        <f>'PPTO 2027'!$F$53</f>
        <v>IPC</v>
      </c>
      <c r="F260" s="124" t="str">
        <f>CHOOSE(7,"Ene","Feb","Mar","Abr","May","Jun","Jul","Ago","Sep","Oct","Nov","Dic")</f>
        <v>Jul</v>
      </c>
      <c r="G260" s="124">
        <v>7</v>
      </c>
      <c r="H260" s="124">
        <f>'PPTO 2027'!$O$53</f>
        <v>5000000</v>
      </c>
      <c r="I260" s="124">
        <f>'PPTO 2027'!$AB$53</f>
        <v>5200000</v>
      </c>
      <c r="J260" s="124">
        <f t="shared" si="12"/>
        <v>200000</v>
      </c>
      <c r="K260" s="124">
        <f t="shared" si="13"/>
        <v>200000</v>
      </c>
      <c r="L260" s="124">
        <f t="shared" si="14"/>
        <v>0.04</v>
      </c>
      <c r="M260" s="124">
        <f>IFERROR(INDEX(tReal27[[Ene]:[Dic]],MATCH(C260,tReal27[Cuenta],0),7),0)</f>
        <v>5194000</v>
      </c>
    </row>
    <row r="261" spans="1:13" x14ac:dyDescent="0.4">
      <c r="A261" s="124" t="str">
        <f>'PPTO 2027'!$E$53</f>
        <v>Corporativo</v>
      </c>
      <c r="B261" s="124" t="str">
        <f>'PPTO 2027'!$C$53</f>
        <v>Otros ingresos no operacionales</v>
      </c>
      <c r="C261" s="124" t="str">
        <f>'PPTO 2027'!$B$53</f>
        <v>Ingresos por arrendamientos</v>
      </c>
      <c r="D261" s="124" t="str">
        <f>'PPTO 2027'!$D$53</f>
        <v>Ingreso</v>
      </c>
      <c r="E261" s="124" t="str">
        <f>'PPTO 2027'!$F$53</f>
        <v>IPC</v>
      </c>
      <c r="F261" s="124" t="str">
        <f>CHOOSE(8,"Ene","Feb","Mar","Abr","May","Jun","Jul","Ago","Sep","Oct","Nov","Dic")</f>
        <v>Ago</v>
      </c>
      <c r="G261" s="124">
        <v>8</v>
      </c>
      <c r="H261" s="124">
        <f>'PPTO 2027'!$P$53</f>
        <v>5000000</v>
      </c>
      <c r="I261" s="124">
        <f>'PPTO 2027'!$AC$53</f>
        <v>5200000</v>
      </c>
      <c r="J261" s="124">
        <f t="shared" si="12"/>
        <v>200000</v>
      </c>
      <c r="K261" s="124">
        <f t="shared" si="13"/>
        <v>200000</v>
      </c>
      <c r="L261" s="124">
        <f t="shared" si="14"/>
        <v>0.04</v>
      </c>
      <c r="M261" s="124">
        <f>IFERROR(INDEX(tReal27[[Ene]:[Dic]],MATCH(C261,tReal27[Cuenta],0),8),0)</f>
        <v>5177000</v>
      </c>
    </row>
    <row r="262" spans="1:13" x14ac:dyDescent="0.4">
      <c r="A262" s="124" t="str">
        <f>'PPTO 2027'!$E$53</f>
        <v>Corporativo</v>
      </c>
      <c r="B262" s="124" t="str">
        <f>'PPTO 2027'!$C$53</f>
        <v>Otros ingresos no operacionales</v>
      </c>
      <c r="C262" s="124" t="str">
        <f>'PPTO 2027'!$B$53</f>
        <v>Ingresos por arrendamientos</v>
      </c>
      <c r="D262" s="124" t="str">
        <f>'PPTO 2027'!$D$53</f>
        <v>Ingreso</v>
      </c>
      <c r="E262" s="124" t="str">
        <f>'PPTO 2027'!$F$53</f>
        <v>IPC</v>
      </c>
      <c r="F262" s="124" t="str">
        <f>CHOOSE(9,"Ene","Feb","Mar","Abr","May","Jun","Jul","Ago","Sep","Oct","Nov","Dic")</f>
        <v>Sep</v>
      </c>
      <c r="G262" s="124">
        <v>9</v>
      </c>
      <c r="H262" s="124">
        <f>'PPTO 2027'!$Q$53</f>
        <v>5000000</v>
      </c>
      <c r="I262" s="124">
        <f>'PPTO 2027'!$AD$53</f>
        <v>5200000</v>
      </c>
      <c r="J262" s="124">
        <f t="shared" si="12"/>
        <v>200000</v>
      </c>
      <c r="K262" s="124">
        <f t="shared" si="13"/>
        <v>200000</v>
      </c>
      <c r="L262" s="124">
        <f t="shared" si="14"/>
        <v>0.04</v>
      </c>
      <c r="M262" s="124">
        <f>IFERROR(INDEX(tReal27[[Ene]:[Dic]],MATCH(C262,tReal27[Cuenta],0),9),0)</f>
        <v>5262000</v>
      </c>
    </row>
    <row r="263" spans="1:13" x14ac:dyDescent="0.4">
      <c r="A263" s="124" t="str">
        <f>'PPTO 2027'!$E$53</f>
        <v>Corporativo</v>
      </c>
      <c r="B263" s="124" t="str">
        <f>'PPTO 2027'!$C$53</f>
        <v>Otros ingresos no operacionales</v>
      </c>
      <c r="C263" s="124" t="str">
        <f>'PPTO 2027'!$B$53</f>
        <v>Ingresos por arrendamientos</v>
      </c>
      <c r="D263" s="124" t="str">
        <f>'PPTO 2027'!$D$53</f>
        <v>Ingreso</v>
      </c>
      <c r="E263" s="124" t="str">
        <f>'PPTO 2027'!$F$53</f>
        <v>IPC</v>
      </c>
      <c r="F263" s="124" t="str">
        <f>CHOOSE(10,"Ene","Feb","Mar","Abr","May","Jun","Jul","Ago","Sep","Oct","Nov","Dic")</f>
        <v>Oct</v>
      </c>
      <c r="G263" s="124">
        <v>10</v>
      </c>
      <c r="H263" s="124">
        <f>'PPTO 2027'!$R$53</f>
        <v>5000000</v>
      </c>
      <c r="I263" s="124">
        <f>'PPTO 2027'!$AE$53</f>
        <v>5200000</v>
      </c>
      <c r="J263" s="124">
        <f t="shared" si="12"/>
        <v>200000</v>
      </c>
      <c r="K263" s="124">
        <f t="shared" si="13"/>
        <v>200000</v>
      </c>
      <c r="L263" s="124">
        <f t="shared" si="14"/>
        <v>0.04</v>
      </c>
      <c r="M263" s="124">
        <f>IFERROR(INDEX(tReal27[[Ene]:[Dic]],MATCH(C263,tReal27[Cuenta],0),10),0)</f>
        <v>5267000</v>
      </c>
    </row>
    <row r="264" spans="1:13" x14ac:dyDescent="0.4">
      <c r="A264" s="124" t="str">
        <f>'PPTO 2027'!$E$53</f>
        <v>Corporativo</v>
      </c>
      <c r="B264" s="124" t="str">
        <f>'PPTO 2027'!$C$53</f>
        <v>Otros ingresos no operacionales</v>
      </c>
      <c r="C264" s="124" t="str">
        <f>'PPTO 2027'!$B$53</f>
        <v>Ingresos por arrendamientos</v>
      </c>
      <c r="D264" s="124" t="str">
        <f>'PPTO 2027'!$D$53</f>
        <v>Ingreso</v>
      </c>
      <c r="E264" s="124" t="str">
        <f>'PPTO 2027'!$F$53</f>
        <v>IPC</v>
      </c>
      <c r="F264" s="124" t="str">
        <f>CHOOSE(11,"Ene","Feb","Mar","Abr","May","Jun","Jul","Ago","Sep","Oct","Nov","Dic")</f>
        <v>Nov</v>
      </c>
      <c r="G264" s="124">
        <v>11</v>
      </c>
      <c r="H264" s="124">
        <f>'PPTO 2027'!$S$53</f>
        <v>5000000</v>
      </c>
      <c r="I264" s="124">
        <f>'PPTO 2027'!$AF$53</f>
        <v>5200000</v>
      </c>
      <c r="J264" s="124">
        <f t="shared" si="12"/>
        <v>200000</v>
      </c>
      <c r="K264" s="124">
        <f t="shared" si="13"/>
        <v>200000</v>
      </c>
      <c r="L264" s="124">
        <f t="shared" si="14"/>
        <v>0.04</v>
      </c>
      <c r="M264" s="124">
        <f>IFERROR(INDEX(tReal27[[Ene]:[Dic]],MATCH(C264,tReal27[Cuenta],0),11),0)</f>
        <v>5182000</v>
      </c>
    </row>
    <row r="265" spans="1:13" x14ac:dyDescent="0.4">
      <c r="A265" s="124" t="str">
        <f>'PPTO 2027'!$E$53</f>
        <v>Corporativo</v>
      </c>
      <c r="B265" s="124" t="str">
        <f>'PPTO 2027'!$C$53</f>
        <v>Otros ingresos no operacionales</v>
      </c>
      <c r="C265" s="124" t="str">
        <f>'PPTO 2027'!$B$53</f>
        <v>Ingresos por arrendamientos</v>
      </c>
      <c r="D265" s="124" t="str">
        <f>'PPTO 2027'!$D$53</f>
        <v>Ingreso</v>
      </c>
      <c r="E265" s="124" t="str">
        <f>'PPTO 2027'!$F$53</f>
        <v>IPC</v>
      </c>
      <c r="F265" s="124" t="str">
        <f>CHOOSE(12,"Ene","Feb","Mar","Abr","May","Jun","Jul","Ago","Sep","Oct","Nov","Dic")</f>
        <v>Dic</v>
      </c>
      <c r="G265" s="124">
        <v>12</v>
      </c>
      <c r="H265" s="124">
        <f>'PPTO 2027'!$T$53</f>
        <v>5000000</v>
      </c>
      <c r="I265" s="124">
        <f>'PPTO 2027'!$AG$53</f>
        <v>5200000</v>
      </c>
      <c r="J265" s="124">
        <f t="shared" si="12"/>
        <v>200000</v>
      </c>
      <c r="K265" s="124">
        <f t="shared" si="13"/>
        <v>200000</v>
      </c>
      <c r="L265" s="124">
        <f t="shared" si="14"/>
        <v>0.04</v>
      </c>
      <c r="M265" s="124">
        <f>IFERROR(INDEX(tReal27[[Ene]:[Dic]],MATCH(C265,tReal27[Cuenta],0),12),0)</f>
        <v>5171000</v>
      </c>
    </row>
    <row r="266" spans="1:13" x14ac:dyDescent="0.4">
      <c r="A266" s="124" t="str">
        <f>'PPTO 2027'!$E$56</f>
        <v>Corporativo</v>
      </c>
      <c r="B266" s="124" t="str">
        <f>'PPTO 2027'!$C$56</f>
        <v>Otros gastos no operacionales</v>
      </c>
      <c r="C266" s="124" t="str">
        <f>'PPTO 2027'!$B$56</f>
        <v>Gastos extraordinarios</v>
      </c>
      <c r="D266" s="124" t="str">
        <f>'PPTO 2027'!$D$56</f>
        <v>Gasto</v>
      </c>
      <c r="E266" s="124" t="str">
        <f>'PPTO 2027'!$F$56</f>
        <v>Fijo</v>
      </c>
      <c r="F266" s="124" t="str">
        <f>CHOOSE(1,"Ene","Feb","Mar","Abr","May","Jun","Jul","Ago","Sep","Oct","Nov","Dic")</f>
        <v>Ene</v>
      </c>
      <c r="G266" s="124">
        <v>1</v>
      </c>
      <c r="H266" s="124">
        <f>'PPTO 2027'!$I$56</f>
        <v>3300000</v>
      </c>
      <c r="I266" s="124">
        <f>'PPTO 2027'!$V$56</f>
        <v>3300000</v>
      </c>
      <c r="J266" s="124">
        <f t="shared" si="12"/>
        <v>0</v>
      </c>
      <c r="K266" s="124">
        <f t="shared" si="13"/>
        <v>0</v>
      </c>
      <c r="L266" s="124">
        <f t="shared" si="14"/>
        <v>0</v>
      </c>
      <c r="M266" s="124">
        <f>IFERROR(INDEX(tReal27[[Ene]:[Dic]],MATCH(C266,tReal27[Cuenta],0),1),0)</f>
        <v>3254000</v>
      </c>
    </row>
    <row r="267" spans="1:13" x14ac:dyDescent="0.4">
      <c r="A267" s="124" t="str">
        <f>'PPTO 2027'!$E$56</f>
        <v>Corporativo</v>
      </c>
      <c r="B267" s="124" t="str">
        <f>'PPTO 2027'!$C$56</f>
        <v>Otros gastos no operacionales</v>
      </c>
      <c r="C267" s="124" t="str">
        <f>'PPTO 2027'!$B$56</f>
        <v>Gastos extraordinarios</v>
      </c>
      <c r="D267" s="124" t="str">
        <f>'PPTO 2027'!$D$56</f>
        <v>Gasto</v>
      </c>
      <c r="E267" s="124" t="str">
        <f>'PPTO 2027'!$F$56</f>
        <v>Fijo</v>
      </c>
      <c r="F267" s="124" t="str">
        <f>CHOOSE(2,"Ene","Feb","Mar","Abr","May","Jun","Jul","Ago","Sep","Oct","Nov","Dic")</f>
        <v>Feb</v>
      </c>
      <c r="G267" s="124">
        <v>2</v>
      </c>
      <c r="H267" s="124">
        <f>'PPTO 2027'!$J$56</f>
        <v>3300000</v>
      </c>
      <c r="I267" s="124">
        <f>'PPTO 2027'!$W$56</f>
        <v>3300000</v>
      </c>
      <c r="J267" s="124">
        <f t="shared" si="12"/>
        <v>0</v>
      </c>
      <c r="K267" s="124">
        <f t="shared" si="13"/>
        <v>0</v>
      </c>
      <c r="L267" s="124">
        <f t="shared" si="14"/>
        <v>0</v>
      </c>
      <c r="M267" s="124">
        <f>IFERROR(INDEX(tReal27[[Ene]:[Dic]],MATCH(C267,tReal27[Cuenta],0),2),0)</f>
        <v>3350000</v>
      </c>
    </row>
    <row r="268" spans="1:13" x14ac:dyDescent="0.4">
      <c r="A268" s="124" t="str">
        <f>'PPTO 2027'!$E$56</f>
        <v>Corporativo</v>
      </c>
      <c r="B268" s="124" t="str">
        <f>'PPTO 2027'!$C$56</f>
        <v>Otros gastos no operacionales</v>
      </c>
      <c r="C268" s="124" t="str">
        <f>'PPTO 2027'!$B$56</f>
        <v>Gastos extraordinarios</v>
      </c>
      <c r="D268" s="124" t="str">
        <f>'PPTO 2027'!$D$56</f>
        <v>Gasto</v>
      </c>
      <c r="E268" s="124" t="str">
        <f>'PPTO 2027'!$F$56</f>
        <v>Fijo</v>
      </c>
      <c r="F268" s="124" t="str">
        <f>CHOOSE(3,"Ene","Feb","Mar","Abr","May","Jun","Jul","Ago","Sep","Oct","Nov","Dic")</f>
        <v>Mar</v>
      </c>
      <c r="G268" s="124">
        <v>3</v>
      </c>
      <c r="H268" s="124">
        <f>'PPTO 2027'!$K$56</f>
        <v>3300000</v>
      </c>
      <c r="I268" s="124">
        <f>'PPTO 2027'!$X$56</f>
        <v>3300000</v>
      </c>
      <c r="J268" s="124">
        <f t="shared" si="12"/>
        <v>0</v>
      </c>
      <c r="K268" s="124">
        <f t="shared" si="13"/>
        <v>0</v>
      </c>
      <c r="L268" s="124">
        <f t="shared" si="14"/>
        <v>0</v>
      </c>
      <c r="M268" s="124">
        <f>IFERROR(INDEX(tReal27[[Ene]:[Dic]],MATCH(C268,tReal27[Cuenta],0),3),0)</f>
        <v>3371000</v>
      </c>
    </row>
    <row r="269" spans="1:13" x14ac:dyDescent="0.4">
      <c r="A269" s="124" t="str">
        <f>'PPTO 2027'!$E$56</f>
        <v>Corporativo</v>
      </c>
      <c r="B269" s="124" t="str">
        <f>'PPTO 2027'!$C$56</f>
        <v>Otros gastos no operacionales</v>
      </c>
      <c r="C269" s="124" t="str">
        <f>'PPTO 2027'!$B$56</f>
        <v>Gastos extraordinarios</v>
      </c>
      <c r="D269" s="124" t="str">
        <f>'PPTO 2027'!$D$56</f>
        <v>Gasto</v>
      </c>
      <c r="E269" s="124" t="str">
        <f>'PPTO 2027'!$F$56</f>
        <v>Fijo</v>
      </c>
      <c r="F269" s="124" t="str">
        <f>CHOOSE(4,"Ene","Feb","Mar","Abr","May","Jun","Jul","Ago","Sep","Oct","Nov","Dic")</f>
        <v>Abr</v>
      </c>
      <c r="G269" s="124">
        <v>4</v>
      </c>
      <c r="H269" s="124">
        <f>'PPTO 2027'!$L$56</f>
        <v>3300000</v>
      </c>
      <c r="I269" s="124">
        <f>'PPTO 2027'!$Y$56</f>
        <v>3300000</v>
      </c>
      <c r="J269" s="124">
        <f t="shared" si="12"/>
        <v>0</v>
      </c>
      <c r="K269" s="124">
        <f t="shared" si="13"/>
        <v>0</v>
      </c>
      <c r="L269" s="124">
        <f t="shared" si="14"/>
        <v>0</v>
      </c>
      <c r="M269" s="124">
        <f>IFERROR(INDEX(tReal27[[Ene]:[Dic]],MATCH(C269,tReal27[Cuenta],0),4),0)</f>
        <v>3246000</v>
      </c>
    </row>
    <row r="270" spans="1:13" x14ac:dyDescent="0.4">
      <c r="A270" s="124" t="str">
        <f>'PPTO 2027'!$E$56</f>
        <v>Corporativo</v>
      </c>
      <c r="B270" s="124" t="str">
        <f>'PPTO 2027'!$C$56</f>
        <v>Otros gastos no operacionales</v>
      </c>
      <c r="C270" s="124" t="str">
        <f>'PPTO 2027'!$B$56</f>
        <v>Gastos extraordinarios</v>
      </c>
      <c r="D270" s="124" t="str">
        <f>'PPTO 2027'!$D$56</f>
        <v>Gasto</v>
      </c>
      <c r="E270" s="124" t="str">
        <f>'PPTO 2027'!$F$56</f>
        <v>Fijo</v>
      </c>
      <c r="F270" s="124" t="str">
        <f>CHOOSE(5,"Ene","Feb","Mar","Abr","May","Jun","Jul","Ago","Sep","Oct","Nov","Dic")</f>
        <v>May</v>
      </c>
      <c r="G270" s="124">
        <v>5</v>
      </c>
      <c r="H270" s="124">
        <f>'PPTO 2027'!$M$56</f>
        <v>3300000</v>
      </c>
      <c r="I270" s="124">
        <f>'PPTO 2027'!$Z$56</f>
        <v>3300000</v>
      </c>
      <c r="J270" s="124">
        <f t="shared" si="12"/>
        <v>0</v>
      </c>
      <c r="K270" s="124">
        <f t="shared" si="13"/>
        <v>0</v>
      </c>
      <c r="L270" s="124">
        <f t="shared" si="14"/>
        <v>0</v>
      </c>
      <c r="M270" s="124">
        <f>IFERROR(INDEX(tReal27[[Ene]:[Dic]],MATCH(C270,tReal27[Cuenta],0),5),0)</f>
        <v>3247000</v>
      </c>
    </row>
    <row r="271" spans="1:13" x14ac:dyDescent="0.4">
      <c r="A271" s="124" t="str">
        <f>'PPTO 2027'!$E$56</f>
        <v>Corporativo</v>
      </c>
      <c r="B271" s="124" t="str">
        <f>'PPTO 2027'!$C$56</f>
        <v>Otros gastos no operacionales</v>
      </c>
      <c r="C271" s="124" t="str">
        <f>'PPTO 2027'!$B$56</f>
        <v>Gastos extraordinarios</v>
      </c>
      <c r="D271" s="124" t="str">
        <f>'PPTO 2027'!$D$56</f>
        <v>Gasto</v>
      </c>
      <c r="E271" s="124" t="str">
        <f>'PPTO 2027'!$F$56</f>
        <v>Fijo</v>
      </c>
      <c r="F271" s="124" t="str">
        <f>CHOOSE(6,"Ene","Feb","Mar","Abr","May","Jun","Jul","Ago","Sep","Oct","Nov","Dic")</f>
        <v>Jun</v>
      </c>
      <c r="G271" s="124">
        <v>6</v>
      </c>
      <c r="H271" s="124">
        <f>'PPTO 2027'!$N$56</f>
        <v>3300000</v>
      </c>
      <c r="I271" s="124">
        <f>'PPTO 2027'!$AA$56</f>
        <v>3300000</v>
      </c>
      <c r="J271" s="124">
        <f t="shared" si="12"/>
        <v>0</v>
      </c>
      <c r="K271" s="124">
        <f t="shared" si="13"/>
        <v>0</v>
      </c>
      <c r="L271" s="124">
        <f t="shared" si="14"/>
        <v>0</v>
      </c>
      <c r="M271" s="124">
        <f>IFERROR(INDEX(tReal27[[Ene]:[Dic]],MATCH(C271,tReal27[Cuenta],0),6),0)</f>
        <v>3300000</v>
      </c>
    </row>
    <row r="272" spans="1:13" x14ac:dyDescent="0.4">
      <c r="A272" s="124" t="str">
        <f>'PPTO 2027'!$E$56</f>
        <v>Corporativo</v>
      </c>
      <c r="B272" s="124" t="str">
        <f>'PPTO 2027'!$C$56</f>
        <v>Otros gastos no operacionales</v>
      </c>
      <c r="C272" s="124" t="str">
        <f>'PPTO 2027'!$B$56</f>
        <v>Gastos extraordinarios</v>
      </c>
      <c r="D272" s="124" t="str">
        <f>'PPTO 2027'!$D$56</f>
        <v>Gasto</v>
      </c>
      <c r="E272" s="124" t="str">
        <f>'PPTO 2027'!$F$56</f>
        <v>Fijo</v>
      </c>
      <c r="F272" s="124" t="str">
        <f>CHOOSE(7,"Ene","Feb","Mar","Abr","May","Jun","Jul","Ago","Sep","Oct","Nov","Dic")</f>
        <v>Jul</v>
      </c>
      <c r="G272" s="124">
        <v>7</v>
      </c>
      <c r="H272" s="124">
        <f>'PPTO 2027'!$O$56</f>
        <v>3300000</v>
      </c>
      <c r="I272" s="124">
        <f>'PPTO 2027'!$AB$56</f>
        <v>3300000</v>
      </c>
      <c r="J272" s="124">
        <f t="shared" si="12"/>
        <v>0</v>
      </c>
      <c r="K272" s="124">
        <f t="shared" si="13"/>
        <v>0</v>
      </c>
      <c r="L272" s="124">
        <f t="shared" si="14"/>
        <v>0</v>
      </c>
      <c r="M272" s="124">
        <f>IFERROR(INDEX(tReal27[[Ene]:[Dic]],MATCH(C272,tReal27[Cuenta],0),7),0)</f>
        <v>3308000</v>
      </c>
    </row>
    <row r="273" spans="1:13" x14ac:dyDescent="0.4">
      <c r="A273" s="124" t="str">
        <f>'PPTO 2027'!$E$56</f>
        <v>Corporativo</v>
      </c>
      <c r="B273" s="124" t="str">
        <f>'PPTO 2027'!$C$56</f>
        <v>Otros gastos no operacionales</v>
      </c>
      <c r="C273" s="124" t="str">
        <f>'PPTO 2027'!$B$56</f>
        <v>Gastos extraordinarios</v>
      </c>
      <c r="D273" s="124" t="str">
        <f>'PPTO 2027'!$D$56</f>
        <v>Gasto</v>
      </c>
      <c r="E273" s="124" t="str">
        <f>'PPTO 2027'!$F$56</f>
        <v>Fijo</v>
      </c>
      <c r="F273" s="124" t="str">
        <f>CHOOSE(8,"Ene","Feb","Mar","Abr","May","Jun","Jul","Ago","Sep","Oct","Nov","Dic")</f>
        <v>Ago</v>
      </c>
      <c r="G273" s="124">
        <v>8</v>
      </c>
      <c r="H273" s="124">
        <f>'PPTO 2027'!$P$56</f>
        <v>3300000</v>
      </c>
      <c r="I273" s="124">
        <f>'PPTO 2027'!$AC$56</f>
        <v>3300000</v>
      </c>
      <c r="J273" s="124">
        <f t="shared" si="12"/>
        <v>0</v>
      </c>
      <c r="K273" s="124">
        <f t="shared" si="13"/>
        <v>0</v>
      </c>
      <c r="L273" s="124">
        <f t="shared" si="14"/>
        <v>0</v>
      </c>
      <c r="M273" s="124">
        <f>IFERROR(INDEX(tReal27[[Ene]:[Dic]],MATCH(C273,tReal27[Cuenta],0),8),0)</f>
        <v>3279000</v>
      </c>
    </row>
    <row r="274" spans="1:13" x14ac:dyDescent="0.4">
      <c r="A274" s="124" t="str">
        <f>'PPTO 2027'!$E$56</f>
        <v>Corporativo</v>
      </c>
      <c r="B274" s="124" t="str">
        <f>'PPTO 2027'!$C$56</f>
        <v>Otros gastos no operacionales</v>
      </c>
      <c r="C274" s="124" t="str">
        <f>'PPTO 2027'!$B$56</f>
        <v>Gastos extraordinarios</v>
      </c>
      <c r="D274" s="124" t="str">
        <f>'PPTO 2027'!$D$56</f>
        <v>Gasto</v>
      </c>
      <c r="E274" s="124" t="str">
        <f>'PPTO 2027'!$F$56</f>
        <v>Fijo</v>
      </c>
      <c r="F274" s="124" t="str">
        <f>CHOOSE(9,"Ene","Feb","Mar","Abr","May","Jun","Jul","Ago","Sep","Oct","Nov","Dic")</f>
        <v>Sep</v>
      </c>
      <c r="G274" s="124">
        <v>9</v>
      </c>
      <c r="H274" s="124">
        <f>'PPTO 2027'!$Q$56</f>
        <v>3300000</v>
      </c>
      <c r="I274" s="124">
        <f>'PPTO 2027'!$AD$56</f>
        <v>3300000</v>
      </c>
      <c r="J274" s="124">
        <f t="shared" si="12"/>
        <v>0</v>
      </c>
      <c r="K274" s="124">
        <f t="shared" si="13"/>
        <v>0</v>
      </c>
      <c r="L274" s="124">
        <f t="shared" si="14"/>
        <v>0</v>
      </c>
      <c r="M274" s="124">
        <f>IFERROR(INDEX(tReal27[[Ene]:[Dic]],MATCH(C274,tReal27[Cuenta],0),9),0)</f>
        <v>3352000</v>
      </c>
    </row>
    <row r="275" spans="1:13" x14ac:dyDescent="0.4">
      <c r="A275" s="124" t="str">
        <f>'PPTO 2027'!$E$56</f>
        <v>Corporativo</v>
      </c>
      <c r="B275" s="124" t="str">
        <f>'PPTO 2027'!$C$56</f>
        <v>Otros gastos no operacionales</v>
      </c>
      <c r="C275" s="124" t="str">
        <f>'PPTO 2027'!$B$56</f>
        <v>Gastos extraordinarios</v>
      </c>
      <c r="D275" s="124" t="str">
        <f>'PPTO 2027'!$D$56</f>
        <v>Gasto</v>
      </c>
      <c r="E275" s="124" t="str">
        <f>'PPTO 2027'!$F$56</f>
        <v>Fijo</v>
      </c>
      <c r="F275" s="124" t="str">
        <f>CHOOSE(10,"Ene","Feb","Mar","Abr","May","Jun","Jul","Ago","Sep","Oct","Nov","Dic")</f>
        <v>Oct</v>
      </c>
      <c r="G275" s="124">
        <v>10</v>
      </c>
      <c r="H275" s="124">
        <f>'PPTO 2027'!$R$56</f>
        <v>3300000</v>
      </c>
      <c r="I275" s="124">
        <f>'PPTO 2027'!$AE$56</f>
        <v>3300000</v>
      </c>
      <c r="J275" s="124">
        <f t="shared" si="12"/>
        <v>0</v>
      </c>
      <c r="K275" s="124">
        <f t="shared" si="13"/>
        <v>0</v>
      </c>
      <c r="L275" s="124">
        <f t="shared" si="14"/>
        <v>0</v>
      </c>
      <c r="M275" s="124">
        <f>IFERROR(INDEX(tReal27[[Ene]:[Dic]],MATCH(C275,tReal27[Cuenta],0),10),0)</f>
        <v>3337000</v>
      </c>
    </row>
    <row r="276" spans="1:13" x14ac:dyDescent="0.4">
      <c r="A276" s="124" t="str">
        <f>'PPTO 2027'!$E$56</f>
        <v>Corporativo</v>
      </c>
      <c r="B276" s="124" t="str">
        <f>'PPTO 2027'!$C$56</f>
        <v>Otros gastos no operacionales</v>
      </c>
      <c r="C276" s="124" t="str">
        <f>'PPTO 2027'!$B$56</f>
        <v>Gastos extraordinarios</v>
      </c>
      <c r="D276" s="124" t="str">
        <f>'PPTO 2027'!$D$56</f>
        <v>Gasto</v>
      </c>
      <c r="E276" s="124" t="str">
        <f>'PPTO 2027'!$F$56</f>
        <v>Fijo</v>
      </c>
      <c r="F276" s="124" t="str">
        <f>CHOOSE(11,"Ene","Feb","Mar","Abr","May","Jun","Jul","Ago","Sep","Oct","Nov","Dic")</f>
        <v>Nov</v>
      </c>
      <c r="G276" s="124">
        <v>11</v>
      </c>
      <c r="H276" s="124">
        <f>'PPTO 2027'!$S$56</f>
        <v>3300000</v>
      </c>
      <c r="I276" s="124">
        <f>'PPTO 2027'!$AF$56</f>
        <v>3300000</v>
      </c>
      <c r="J276" s="124">
        <f t="shared" si="12"/>
        <v>0</v>
      </c>
      <c r="K276" s="124">
        <f t="shared" si="13"/>
        <v>0</v>
      </c>
      <c r="L276" s="124">
        <f t="shared" si="14"/>
        <v>0</v>
      </c>
      <c r="M276" s="124">
        <f>IFERROR(INDEX(tReal27[[Ene]:[Dic]],MATCH(C276,tReal27[Cuenta],0),11),0)</f>
        <v>3317000</v>
      </c>
    </row>
    <row r="277" spans="1:13" x14ac:dyDescent="0.4">
      <c r="A277" s="124" t="str">
        <f>'PPTO 2027'!$E$56</f>
        <v>Corporativo</v>
      </c>
      <c r="B277" s="124" t="str">
        <f>'PPTO 2027'!$C$56</f>
        <v>Otros gastos no operacionales</v>
      </c>
      <c r="C277" s="124" t="str">
        <f>'PPTO 2027'!$B$56</f>
        <v>Gastos extraordinarios</v>
      </c>
      <c r="D277" s="124" t="str">
        <f>'PPTO 2027'!$D$56</f>
        <v>Gasto</v>
      </c>
      <c r="E277" s="124" t="str">
        <f>'PPTO 2027'!$F$56</f>
        <v>Fijo</v>
      </c>
      <c r="F277" s="124" t="str">
        <f>CHOOSE(12,"Ene","Feb","Mar","Abr","May","Jun","Jul","Ago","Sep","Oct","Nov","Dic")</f>
        <v>Dic</v>
      </c>
      <c r="G277" s="124">
        <v>12</v>
      </c>
      <c r="H277" s="124">
        <f>'PPTO 2027'!$T$56</f>
        <v>3700000</v>
      </c>
      <c r="I277" s="124">
        <f>'PPTO 2027'!$AG$56</f>
        <v>3700000</v>
      </c>
      <c r="J277" s="124">
        <f t="shared" si="12"/>
        <v>0</v>
      </c>
      <c r="K277" s="124">
        <f t="shared" si="13"/>
        <v>0</v>
      </c>
      <c r="L277" s="124">
        <f t="shared" si="14"/>
        <v>0</v>
      </c>
      <c r="M277" s="124">
        <f>IFERROR(INDEX(tReal27[[Ene]:[Dic]],MATCH(C277,tReal27[Cuenta],0),12),0)</f>
        <v>3737000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10</vt:i4>
      </vt:variant>
    </vt:vector>
  </HeadingPairs>
  <TitlesOfParts>
    <vt:vector size="17" baseType="lpstr">
      <vt:lpstr>Guía</vt:lpstr>
      <vt:lpstr>Tablero</vt:lpstr>
      <vt:lpstr>PPTO 2027</vt:lpstr>
      <vt:lpstr>Estado de resultados</vt:lpstr>
      <vt:lpstr>Seguimiento</vt:lpstr>
      <vt:lpstr>Calculos</vt:lpstr>
      <vt:lpstr>Base</vt:lpstr>
      <vt:lpstr>pCorte</vt:lpstr>
      <vt:lpstr>pIPC</vt:lpstr>
      <vt:lpstr>pMesCorte</vt:lpstr>
      <vt:lpstr>pMetaGastosIngresos</vt:lpstr>
      <vt:lpstr>pMetaMargenBruto</vt:lpstr>
      <vt:lpstr>pMetaMargenEbitda</vt:lpstr>
      <vt:lpstr>pMetaMargenNeto</vt:lpstr>
      <vt:lpstr>pSalario</vt:lpstr>
      <vt:lpstr>pTasaRenta</vt:lpstr>
      <vt:lpstr>rSegResumen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mauricio escobar bernales</dc:creator>
  <cp:lastModifiedBy>hugo mauricio escobar bernales</cp:lastModifiedBy>
  <dcterms:created xsi:type="dcterms:W3CDTF">2026-09-28T18:29:33Z</dcterms:created>
  <dcterms:modified xsi:type="dcterms:W3CDTF">2026-09-28T21:57:57Z</dcterms:modified>
</cp:coreProperties>
</file>