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0 · Configuración" sheetId="2" state="visible" r:id="rId2"/>
    <sheet xmlns:r="http://schemas.openxmlformats.org/officeDocument/2006/relationships" name="1 · Datos" sheetId="3" state="visible" r:id="rId3"/>
    <sheet xmlns:r="http://schemas.openxmlformats.org/officeDocument/2006/relationships" name="2 · Resumen junta" sheetId="4" state="visible" r:id="rId4"/>
    <sheet xmlns:r="http://schemas.openxmlformats.org/officeDocument/2006/relationships" name="3 · Ingresos y pipeline" sheetId="5" state="visible" r:id="rId5"/>
    <sheet xmlns:r="http://schemas.openxmlformats.org/officeDocument/2006/relationships" name="4 · Márgenes por negocio" sheetId="6" state="visible" r:id="rId6"/>
    <sheet xmlns:r="http://schemas.openxmlformats.org/officeDocument/2006/relationships" name="5 · Gasto administrativo" sheetId="7" state="visible" r:id="rId7"/>
    <sheet xmlns:r="http://schemas.openxmlformats.org/officeDocument/2006/relationships" name="6 · Caja, deuda y divisas" sheetId="8" state="visible" r:id="rId8"/>
    <sheet xmlns:r="http://schemas.openxmlformats.org/officeDocument/2006/relationships" name="7 · Cartera y proveedores" sheetId="9" state="visible" r:id="rId9"/>
    <sheet xmlns:r="http://schemas.openxmlformats.org/officeDocument/2006/relationships" name="8 · Acciones" sheetId="10" state="visible" r:id="rId10"/>
    <sheet xmlns:r="http://schemas.openxmlformats.org/officeDocument/2006/relationships" name="9 · Preguntas de la jun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&quot;x&quot;"/>
    <numFmt numFmtId="166" formatCode="0&quot; d&quot;"/>
    <numFmt numFmtId="167" formatCode="#,##0&quot; M&quot;"/>
    <numFmt numFmtId="168" formatCode="+0.0&quot; pp&quot;;-0.0&quot; pp&quot;"/>
    <numFmt numFmtId="169" formatCode="+0.00&quot;x&quot;;-0.00&quot;x&quot;"/>
    <numFmt numFmtId="170" formatCode="+0&quot; d&quot;;-0&quot; d&quot;"/>
    <numFmt numFmtId="171" formatCode="0.0&quot; m&quot;"/>
  </numFmts>
  <fonts count="22">
    <font>
      <name val="Calibri"/>
      <family val="2"/>
      <color theme="1"/>
      <sz val="11"/>
      <scheme val="minor"/>
    </font>
    <font>
      <name val="JetBrains Mono"/>
      <b val="1"/>
      <color rgb="00FCF9F2"/>
      <sz val="9"/>
    </font>
    <font>
      <name val="JetBrains Mono"/>
      <color rgb="006E675C"/>
      <sz val="9"/>
    </font>
    <font>
      <name val="Anton"/>
      <color rgb="0014110C"/>
      <sz val="24"/>
    </font>
    <font>
      <name val="Inter"/>
      <color rgb="006E675C"/>
      <sz val="10"/>
    </font>
    <font>
      <name val="JetBrains Mono"/>
      <b val="1"/>
      <color rgb="001400C8"/>
      <sz val="44"/>
    </font>
    <font>
      <name val="Inter"/>
      <color rgb="006E675C"/>
      <sz val="11"/>
    </font>
    <font>
      <name val="Archivo SemiBold"/>
      <b val="1"/>
      <color rgb="0014110C"/>
      <sz val="11"/>
    </font>
    <font>
      <name val="Inter"/>
      <color rgb="006E675C"/>
      <sz val="9"/>
    </font>
    <font>
      <name val="Archivo SemiBold"/>
      <b val="1"/>
      <color rgb="0014110C"/>
      <sz val="10"/>
    </font>
    <font>
      <name val="JetBrains Mono"/>
      <b val="1"/>
      <color rgb="001400C8"/>
      <sz val="9"/>
    </font>
    <font>
      <name val="Anton"/>
      <color rgb="0014110C"/>
      <sz val="20"/>
    </font>
    <font>
      <name val="JetBrains Mono"/>
      <b val="1"/>
      <color rgb="0014110C"/>
      <sz val="10"/>
    </font>
    <font>
      <name val="Inter"/>
      <b val="1"/>
      <color rgb="006E675C"/>
      <sz val="8"/>
    </font>
    <font>
      <name val="Inter"/>
      <color rgb="0014110C"/>
      <sz val="9"/>
    </font>
    <font>
      <name val="JetBrains Mono"/>
      <color rgb="0014110C"/>
      <sz val="9"/>
    </font>
    <font>
      <name val="JetBrains Mono"/>
      <b val="1"/>
      <color rgb="0014110C"/>
      <sz val="9"/>
    </font>
    <font>
      <name val="Inter"/>
      <b val="1"/>
      <color rgb="0014110C"/>
      <sz val="9"/>
    </font>
    <font>
      <name val="JetBrains Mono"/>
      <b val="1"/>
      <color rgb="001400C8"/>
      <sz val="17"/>
    </font>
    <font>
      <name val="JetBrains Mono"/>
      <b val="1"/>
      <color rgb="006E675C"/>
      <sz val="9"/>
    </font>
    <font>
      <name val="Inter"/>
      <color rgb="006E675C"/>
      <sz val="8"/>
    </font>
    <font>
      <name val="JetBrains Mono"/>
      <b val="1"/>
      <color rgb="0014110C"/>
      <sz val="17"/>
    </font>
  </fonts>
  <fills count="5">
    <fill>
      <patternFill/>
    </fill>
    <fill>
      <patternFill patternType="gray125"/>
    </fill>
    <fill>
      <patternFill patternType="solid">
        <fgColor rgb="00FCF9F2"/>
      </patternFill>
    </fill>
    <fill>
      <patternFill patternType="solid">
        <fgColor rgb="00B5822A"/>
      </patternFill>
    </fill>
    <fill>
      <patternFill patternType="solid">
        <fgColor rgb="00F1E8D6"/>
      </patternFill>
    </fill>
  </fills>
  <borders count="4">
    <border>
      <left/>
      <right/>
      <top/>
      <bottom/>
      <diagonal/>
    </border>
    <border>
      <top style="thin">
        <color rgb="00B5822A"/>
      </top>
    </border>
    <border>
      <bottom style="thin">
        <color rgb="00DCCFB4"/>
      </bottom>
    </border>
    <border>
      <bottom style="thin">
        <color rgb="00B5822A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0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12" fillId="4" borderId="2" applyAlignment="1" pivotButton="0" quotePrefix="0" xfId="0">
      <alignment horizontal="left" vertical="center" indent="1"/>
    </xf>
    <xf numFmtId="0" fontId="0" fillId="2" borderId="1" pivotButton="0" quotePrefix="0" xfId="0"/>
    <xf numFmtId="164" fontId="12" fillId="4" borderId="2" applyAlignment="1" pivotButton="0" quotePrefix="0" xfId="0">
      <alignment horizontal="left" vertical="center" indent="1"/>
    </xf>
    <xf numFmtId="3" fontId="12" fillId="4" borderId="2" applyAlignment="1" pivotButton="0" quotePrefix="0" xfId="0">
      <alignment horizontal="left" vertical="center" indent="1"/>
    </xf>
    <xf numFmtId="165" fontId="12" fillId="4" borderId="2" applyAlignment="1" pivotButton="0" quotePrefix="0" xfId="0">
      <alignment horizontal="left" vertical="center" indent="1"/>
    </xf>
    <xf numFmtId="166" fontId="12" fillId="4" borderId="2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 wrapText="1"/>
    </xf>
    <xf numFmtId="0" fontId="13" fillId="2" borderId="2" applyAlignment="1" pivotButton="0" quotePrefix="0" xfId="0">
      <alignment vertical="center"/>
    </xf>
    <xf numFmtId="0" fontId="0" fillId="2" borderId="2" pivotButton="0" quotePrefix="0" xfId="0"/>
    <xf numFmtId="0" fontId="13" fillId="2" borderId="2" applyAlignment="1" pivotButton="0" quotePrefix="0" xfId="0">
      <alignment horizontal="right" vertical="center"/>
    </xf>
    <xf numFmtId="0" fontId="13" fillId="2" borderId="0" applyAlignment="1" pivotButton="0" quotePrefix="0" xfId="0">
      <alignment vertical="center"/>
    </xf>
    <xf numFmtId="0" fontId="14" fillId="2" borderId="0" applyAlignment="1" pivotButton="0" quotePrefix="0" xfId="0">
      <alignment horizontal="left" vertical="center" indent="1"/>
    </xf>
    <xf numFmtId="3" fontId="15" fillId="2" borderId="0" applyAlignment="1" pivotButton="0" quotePrefix="0" xfId="0">
      <alignment horizontal="right" vertical="center"/>
    </xf>
    <xf numFmtId="3" fontId="16" fillId="2" borderId="0" applyAlignment="1" pivotButton="0" quotePrefix="0" xfId="0">
      <alignment horizontal="right" vertical="center"/>
    </xf>
    <xf numFmtId="0" fontId="17" fillId="4" borderId="0" applyAlignment="1" pivotButton="0" quotePrefix="0" xfId="0">
      <alignment horizontal="left" vertical="center" indent="1"/>
    </xf>
    <xf numFmtId="3" fontId="16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2" fontId="15" fillId="2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 indent="1"/>
    </xf>
    <xf numFmtId="167" fontId="18" fillId="4" borderId="0" applyAlignment="1" pivotButton="0" quotePrefix="0" xfId="0">
      <alignment horizontal="left" vertical="center" indent="1"/>
    </xf>
    <xf numFmtId="164" fontId="21" fillId="4" borderId="0" applyAlignment="1" pivotButton="0" quotePrefix="0" xfId="0">
      <alignment horizontal="left" vertical="center" indent="1"/>
    </xf>
    <xf numFmtId="167" fontId="21" fillId="4" borderId="0" applyAlignment="1" pivotButton="0" quotePrefix="0" xfId="0">
      <alignment horizontal="left" vertical="center" indent="1"/>
    </xf>
    <xf numFmtId="165" fontId="21" fillId="4" borderId="0" applyAlignment="1" pivotButton="0" quotePrefix="0" xfId="0">
      <alignment horizontal="left" vertical="center" indent="1"/>
    </xf>
    <xf numFmtId="166" fontId="21" fillId="4" borderId="0" applyAlignment="1" pivotButton="0" quotePrefix="0" xfId="0">
      <alignment horizontal="left" vertical="center" indent="1"/>
    </xf>
    <xf numFmtId="164" fontId="19" fillId="4" borderId="0" applyAlignment="1" pivotButton="0" quotePrefix="0" xfId="0">
      <alignment horizontal="left" vertical="center" indent="1"/>
    </xf>
    <xf numFmtId="168" fontId="19" fillId="4" borderId="0" applyAlignment="1" pivotButton="0" quotePrefix="0" xfId="0">
      <alignment horizontal="left" vertical="center" indent="1"/>
    </xf>
    <xf numFmtId="169" fontId="19" fillId="4" borderId="0" applyAlignment="1" pivotButton="0" quotePrefix="0" xfId="0">
      <alignment horizontal="left" vertical="center" indent="1"/>
    </xf>
    <xf numFmtId="170" fontId="19" fillId="4" borderId="0" applyAlignment="1" pivotButton="0" quotePrefix="0" xfId="0">
      <alignment horizontal="left" vertical="center" indent="1"/>
    </xf>
    <xf numFmtId="0" fontId="20" fillId="4" borderId="0" applyAlignment="1" pivotButton="0" quotePrefix="0" xfId="0">
      <alignment horizontal="left" vertical="center" indent="1"/>
    </xf>
    <xf numFmtId="0" fontId="13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2" borderId="2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167" fontId="12" fillId="2" borderId="0" applyAlignment="1" pivotButton="0" quotePrefix="0" xfId="0">
      <alignment horizontal="right" vertical="center"/>
    </xf>
    <xf numFmtId="167" fontId="2" fillId="2" borderId="0" applyAlignment="1" pivotButton="0" quotePrefix="0" xfId="0">
      <alignment horizontal="right" vertical="center"/>
    </xf>
    <xf numFmtId="164" fontId="12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indent="1"/>
    </xf>
    <xf numFmtId="164" fontId="2" fillId="2" borderId="0" applyAlignment="1" pivotButton="0" quotePrefix="0" xfId="0">
      <alignment horizontal="right" vertical="center"/>
    </xf>
    <xf numFmtId="168" fontId="12" fillId="2" borderId="0" applyAlignment="1" pivotButton="0" quotePrefix="0" xfId="0">
      <alignment horizontal="right" vertical="center"/>
    </xf>
    <xf numFmtId="166" fontId="12" fillId="2" borderId="0" applyAlignment="1" pivotButton="0" quotePrefix="0" xfId="0">
      <alignment horizontal="right" vertical="center"/>
    </xf>
    <xf numFmtId="166" fontId="2" fillId="2" borderId="0" applyAlignment="1" pivotButton="0" quotePrefix="0" xfId="0">
      <alignment horizontal="right" vertical="center"/>
    </xf>
    <xf numFmtId="170" fontId="12" fillId="2" borderId="0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 indent="1"/>
    </xf>
    <xf numFmtId="164" fontId="16" fillId="2" borderId="0" applyAlignment="1" pivotButton="0" quotePrefix="0" xfId="0">
      <alignment horizontal="right" vertical="center"/>
    </xf>
    <xf numFmtId="164" fontId="16" fillId="4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171" fontId="15" fillId="2" borderId="0" applyAlignment="1" pivotButton="0" quotePrefix="0" xfId="0">
      <alignment horizontal="right" vertical="center"/>
    </xf>
    <xf numFmtId="171" fontId="16" fillId="2" borderId="0" applyAlignment="1" pivotButton="0" quotePrefix="0" xfId="0">
      <alignment horizontal="right" vertical="center"/>
    </xf>
    <xf numFmtId="165" fontId="16" fillId="4" borderId="0" applyAlignment="1" pivotButton="0" quotePrefix="0" xfId="0">
      <alignment horizontal="right" vertical="center"/>
    </xf>
    <xf numFmtId="165" fontId="15" fillId="2" borderId="0" applyAlignment="1" pivotButton="0" quotePrefix="0" xfId="0">
      <alignment horizontal="right" vertical="center"/>
    </xf>
    <xf numFmtId="2" fontId="16" fillId="2" borderId="0" applyAlignment="1" pivotButton="0" quotePrefix="0" xfId="0">
      <alignment horizontal="right" vertical="center"/>
    </xf>
    <xf numFmtId="166" fontId="16" fillId="4" borderId="0" applyAlignment="1" pivotButton="0" quotePrefix="0" xfId="0">
      <alignment horizontal="right" vertical="center"/>
    </xf>
    <xf numFmtId="166" fontId="15" fillId="2" borderId="0" applyAlignment="1" pivotButton="0" quotePrefix="0" xfId="0">
      <alignment horizontal="right" vertical="center"/>
    </xf>
    <xf numFmtId="166" fontId="16" fillId="2" borderId="0" applyAlignment="1" pivotButton="0" quotePrefix="0" xfId="0">
      <alignment horizontal="right" vertical="center"/>
    </xf>
    <xf numFmtId="0" fontId="13" fillId="2" borderId="3" applyAlignment="1" pivotButton="0" quotePrefix="0" xfId="0">
      <alignment vertical="center"/>
    </xf>
    <xf numFmtId="0" fontId="17" fillId="2" borderId="2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JetBrains Mono"/>
        <b val="1"/>
        <color rgb="0014776B"/>
      </font>
    </dxf>
    <dxf>
      <font>
        <name val="JetBrains Mono"/>
        <b val="1"/>
        <color rgb="009C514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 real, presupuesto y pipeline</a:t>
            </a:r>
          </a:p>
        </rich>
      </tx>
    </title>
    <plotArea>
      <lineChart>
        <grouping val="standard"/>
        <ser>
          <idx val="0"/>
          <order val="0"/>
          <tx>
            <v>Real</v>
          </tx>
          <spPr>
            <a:ln xmlns:a="http://schemas.openxmlformats.org/drawingml/2006/main" w="22000">
              <a:solidFill>
                <a:srgbClr val="1400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· Ingresos y pipeline'!$D$5:$O$5</f>
            </numRef>
          </cat>
          <val>
            <numRef>
              <f>'3 · Ingresos y pipeline'!$D$10:$O$10</f>
            </numRef>
          </val>
          <smooth val="0"/>
        </ser>
        <ser>
          <idx val="1"/>
          <order val="1"/>
          <tx>
            <v>Ppto</v>
          </tx>
          <spPr>
            <a:ln xmlns:a="http://schemas.openxmlformats.org/drawingml/2006/main" w="22000">
              <a:solidFill>
                <a:srgbClr val="9C92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· Ingresos y pipeline'!$D$5:$O$5</f>
            </numRef>
          </cat>
          <val>
            <numRef>
              <f>'3 · Ingresos y pipeline'!$D$12:$O$12</f>
            </numRef>
          </val>
          <smooth val="0"/>
        </ser>
        <ser>
          <idx val="2"/>
          <order val="2"/>
          <tx>
            <v>Pipeline</v>
          </tx>
          <spPr>
            <a:ln xmlns:a="http://schemas.openxmlformats.org/drawingml/2006/main" w="22000">
              <a:solidFill>
                <a:srgbClr val="B582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· Ingresos y pipeline'!$D$5:$O$5</f>
            </numRef>
          </cat>
          <val>
            <numRef>
              <f>'3 · Ingresos y pipeline'!$D$16:$O$16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Margen bruto consolidado contra el mínimo aceptable</a:t>
            </a:r>
          </a:p>
        </rich>
      </tx>
    </title>
    <plotArea>
      <lineChart>
        <grouping val="standard"/>
        <ser>
          <idx val="0"/>
          <order val="0"/>
          <tx>
            <v>Consolidado</v>
          </tx>
          <spPr>
            <a:ln xmlns:a="http://schemas.openxmlformats.org/drawingml/2006/main" w="22000">
              <a:solidFill>
                <a:srgbClr val="1400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 · Márgenes por negocio'!$D$5:$O$5</f>
            </numRef>
          </cat>
          <val>
            <numRef>
              <f>'4 · Márgenes por negocio'!$D$15:$O$15</f>
            </numRef>
          </val>
          <smooth val="0"/>
        </ser>
        <ser>
          <idx val="1"/>
          <order val="1"/>
          <tx>
            <v>Mínimo</v>
          </tx>
          <spPr>
            <a:ln xmlns:a="http://schemas.openxmlformats.org/drawingml/2006/main" w="22000">
              <a:solidFill>
                <a:srgbClr val="9C92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 · Márgenes por negocio'!$D$5:$O$5</f>
            </numRef>
          </cat>
          <val>
            <numRef>
              <f>'4 · Márgenes por negocio'!$D$16:$O$16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administrativo: real contra presupuesto</a:t>
            </a:r>
          </a:p>
        </rich>
      </tx>
    </title>
    <plotArea>
      <barChart>
        <barDir val="col"/>
        <grouping val="clustered"/>
        <ser>
          <idx val="0"/>
          <order val="0"/>
          <tx>
            <v>Real</v>
          </tx>
          <spPr>
            <a:solidFill xmlns:a="http://schemas.openxmlformats.org/drawingml/2006/main">
              <a:srgbClr val="1400C8"/>
            </a:solidFill>
            <a:ln xmlns:a="http://schemas.openxmlformats.org/drawingml/2006/main">
              <a:noFill/>
              <a:prstDash val="solid"/>
            </a:ln>
          </spPr>
          <cat>
            <numRef>
              <f>'5 · Gasto administrativo'!$D$5:$O$5</f>
            </numRef>
          </cat>
          <val>
            <numRef>
              <f>'5 · Gasto administrativo'!$D$13:$O$13</f>
            </numRef>
          </val>
        </ser>
        <ser>
          <idx val="1"/>
          <order val="1"/>
          <tx>
            <v>Ppto</v>
          </tx>
          <spPr>
            <a:solidFill xmlns:a="http://schemas.openxmlformats.org/drawingml/2006/main">
              <a:srgbClr val="9C9280"/>
            </a:solidFill>
            <a:ln xmlns:a="http://schemas.openxmlformats.org/drawingml/2006/main">
              <a:noFill/>
              <a:prstDash val="solid"/>
            </a:ln>
          </spPr>
          <cat>
            <numRef>
              <f>'5 · Gasto administrativo'!$D$5:$O$5</f>
            </numRef>
          </cat>
          <val>
            <numRef>
              <f>'5 · Gasto administrativo'!$D$15:$O$15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de caja contra la caja mínima de operación</a:t>
            </a:r>
          </a:p>
        </rich>
      </tx>
    </title>
    <plotArea>
      <lineChart>
        <grouping val="standard"/>
        <ser>
          <idx val="0"/>
          <order val="0"/>
          <tx>
            <v>Caja</v>
          </tx>
          <spPr>
            <a:ln xmlns:a="http://schemas.openxmlformats.org/drawingml/2006/main" w="22000">
              <a:solidFill>
                <a:srgbClr val="1400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 · Caja, deuda y divisas'!$D$5:$O$5</f>
            </numRef>
          </cat>
          <val>
            <numRef>
              <f>'6 · Caja, deuda y divisas'!$D$11:$O$11</f>
            </numRef>
          </val>
          <smooth val="0"/>
        </ser>
        <ser>
          <idx val="1"/>
          <order val="1"/>
          <tx>
            <v>Mínimo</v>
          </tx>
          <spPr>
            <a:ln xmlns:a="http://schemas.openxmlformats.org/drawingml/2006/main" w="22000">
              <a:solidFill>
                <a:srgbClr val="9C92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 · Caja, deuda y divisas'!$D$5:$O$5</f>
            </numRef>
          </cat>
          <val>
            <numRef>
              <f>'6 · Caja, deuda y divisas'!$D$12:$O$12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Días de cartera y de proveedores</a:t>
            </a:r>
          </a:p>
        </rich>
      </tx>
    </title>
    <plotArea>
      <lineChart>
        <grouping val="standard"/>
        <ser>
          <idx val="0"/>
          <order val="0"/>
          <tx>
            <v>Cartera</v>
          </tx>
          <spPr>
            <a:ln xmlns:a="http://schemas.openxmlformats.org/drawingml/2006/main" w="22000">
              <a:solidFill>
                <a:srgbClr val="1400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 · Cartera y proveedores'!$D$5:$O$5</f>
            </numRef>
          </cat>
          <val>
            <numRef>
              <f>'7 · Cartera y proveedores'!$D$8:$O$8</f>
            </numRef>
          </val>
          <smooth val="0"/>
        </ser>
        <ser>
          <idx val="1"/>
          <order val="1"/>
          <tx>
            <v>Objetivo</v>
          </tx>
          <spPr>
            <a:ln xmlns:a="http://schemas.openxmlformats.org/drawingml/2006/main" w="22000">
              <a:solidFill>
                <a:srgbClr val="9C92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 · Cartera y proveedores'!$D$5:$O$5</f>
            </numRef>
          </cat>
          <val>
            <numRef>
              <f>'7 · Cartera y proveedores'!$D$9:$O$9</f>
            </numRef>
          </val>
          <smooth val="0"/>
        </ser>
        <ser>
          <idx val="2"/>
          <order val="2"/>
          <tx>
            <v>Proveedores</v>
          </tx>
          <spPr>
            <a:ln xmlns:a="http://schemas.openxmlformats.org/drawingml/2006/main" w="22000">
              <a:solidFill>
                <a:srgbClr val="B582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 · Cartera y proveedores'!$D$5:$O$5</f>
            </numRef>
          </cat>
          <val>
            <numRef>
              <f>'7 · Cartera y proveedores'!$D$14:$O$14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704850" cy="70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19</row>
      <rowOff>0</rowOff>
    </from>
    <ext cx="61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21</row>
      <rowOff>0</rowOff>
    </from>
    <ext cx="61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21</row>
      <rowOff>0</rowOff>
    </from>
    <ext cx="61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26</row>
      <rowOff>0</rowOff>
    </from>
    <ext cx="61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18</row>
      <rowOff>0</rowOff>
    </from>
    <ext cx="61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400C8"/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8" customHeight="1">
      <c r="A3" s="1" t="n"/>
      <c r="B3" s="2" t="inlineStr">
        <is>
          <t>BOARD PACK</t>
        </is>
      </c>
      <c r="C3" s="3">
        <f>'0 · Configuración'!C7</f>
        <v/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0" customHeight="1">
      <c r="A5" s="1" t="n"/>
      <c r="B5" s="4" t="inlineStr">
        <is>
          <t>LA ANATOMÍA DE UNA JUNTA, EN SIETE BLOQUES</t>
        </is>
      </c>
      <c r="M5" s="1" t="n"/>
      <c r="N5" s="1" t="n"/>
    </row>
    <row r="6" ht="20" customHeight="1">
      <c r="A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5" t="inlineStr">
        <is>
          <t>Plantilla de reporte financiero a junta directiva. Se llena una sola hoja de datos; los siete bloques y el resumen se calculan solos.</t>
        </is>
      </c>
      <c r="M8" s="1" t="n"/>
      <c r="N8" s="1" t="n"/>
    </row>
    <row r="9">
      <c r="A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17" customHeight="1">
      <c r="A11" s="1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1" t="n"/>
      <c r="N11" s="1" t="n"/>
    </row>
    <row r="12" ht="17" customHeight="1">
      <c r="A12" s="1" t="n"/>
      <c r="B12" s="7" t="n">
        <v>7</v>
      </c>
      <c r="D12" s="6" t="n"/>
      <c r="E12" s="8" t="inlineStr">
        <is>
          <t>bloques cubren el 90% de lo que una junta mira desde finanzas. El 10% restante es tu criterio — y para eso está la hoja de acciones.</t>
        </is>
      </c>
      <c r="L12" s="6" t="n"/>
      <c r="M12" s="1" t="n"/>
      <c r="N12" s="1" t="n"/>
    </row>
    <row r="13" ht="17" customHeight="1">
      <c r="A13" s="1" t="n"/>
      <c r="D13" s="6" t="n"/>
      <c r="L13" s="6" t="n"/>
      <c r="M13" s="1" t="n"/>
      <c r="N13" s="1" t="n"/>
    </row>
    <row r="14" ht="17" customHeight="1">
      <c r="A14" s="1" t="n"/>
      <c r="D14" s="6" t="n"/>
      <c r="L14" s="6" t="n"/>
      <c r="M14" s="1" t="n"/>
      <c r="N14" s="1" t="n"/>
    </row>
    <row r="15" ht="17" customHeight="1">
      <c r="A15" s="1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" t="n"/>
      <c r="N15" s="1" t="n"/>
    </row>
    <row r="16" ht="17" customHeight="1">
      <c r="A16" s="1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9" t="inlineStr">
        <is>
          <t>MAURICIO ESCOBAR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0" t="inlineStr">
        <is>
          <t>Arquitecto de decisiones financieras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0" t="inlineStr">
        <is>
          <t>Plantilla gratuita. Úsala, edítala, cámbiale los nombres.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1" t="inlineStr">
        <is>
          <t>POR DÓNDE EMPEZAR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 ht="15" customHeight="1">
      <c r="A25" s="1" t="n"/>
      <c r="B25" s="12" t="inlineStr">
        <is>
          <t>1</t>
        </is>
      </c>
      <c r="C25" s="13" t="inlineStr">
        <is>
          <t>Abre «0 · Configuración»: nombre de la empresa, tus tres líneas de negocio, tus categorías de gasto y tus umbrales.</t>
        </is>
      </c>
      <c r="M25" s="1" t="n"/>
      <c r="N25" s="1" t="n"/>
    </row>
    <row r="26" ht="15" customHeight="1">
      <c r="A26" s="1" t="n"/>
      <c r="B26" s="12" t="inlineStr">
        <is>
          <t>2</t>
        </is>
      </c>
      <c r="C26" s="13" t="inlineStr">
        <is>
          <t>Ve a «1 · Datos» y reemplaza los números de ejemplo. Es la única hoja donde se escribe.</t>
        </is>
      </c>
      <c r="M26" s="1" t="n"/>
      <c r="N26" s="1" t="n"/>
    </row>
    <row r="27" ht="15" customHeight="1">
      <c r="A27" s="1" t="n"/>
      <c r="B27" s="12" t="inlineStr">
        <is>
          <t>3</t>
        </is>
      </c>
      <c r="C27" s="13" t="inlineStr">
        <is>
          <t>Las hojas 2 a 7 se calculan solas. Las hojas 8 y 9 se escriben a mano: son criterio, no fórmula.</t>
        </is>
      </c>
      <c r="M27" s="1" t="n"/>
      <c r="N27" s="1" t="n"/>
    </row>
    <row r="28" ht="15" customHeight="1">
      <c r="A28" s="1" t="n"/>
      <c r="B28" s="12" t="inlineStr">
        <is>
          <t>4</t>
        </is>
      </c>
      <c r="C28" s="13" t="inlineStr">
        <is>
          <t>Presenta en el orden de las pestañas. Ese orden viene de una junta real, no de un índice.</t>
        </is>
      </c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</sheetData>
  <mergeCells count="8">
    <mergeCell ref="C27:L27"/>
    <mergeCell ref="B12:C14"/>
    <mergeCell ref="B8:L9"/>
    <mergeCell ref="C26:L26"/>
    <mergeCell ref="B5:L6"/>
    <mergeCell ref="E12:K14"/>
    <mergeCell ref="C25:L25"/>
    <mergeCell ref="C28:L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5822A"/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2" customWidth="1" min="2" max="2"/>
    <col width="30" customWidth="1" min="3" max="3"/>
    <col width="4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14" t="inlineStr">
        <is>
          <t>CONFIGURACIÓN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5" t="inlineStr">
        <is>
          <t>Lo que escribas aquí se propaga a todo el archivo. Las celdas sobre panel son las editables.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6" customHeight="1">
      <c r="A5" s="1" t="n"/>
      <c r="B5" s="9" t="inlineStr">
        <is>
          <t>IDENTIFICACIÓN</t>
        </is>
      </c>
      <c r="C5" s="1" t="n"/>
      <c r="D5" s="1" t="n"/>
      <c r="E5" s="1" t="n"/>
      <c r="F5" s="1" t="n"/>
      <c r="G5" s="1" t="n"/>
      <c r="H5" s="1" t="n"/>
      <c r="I5" s="1" t="n"/>
      <c r="J5" s="1" t="n"/>
    </row>
    <row r="6" ht="17" customHeight="1">
      <c r="A6" s="1" t="n"/>
      <c r="B6" s="16" t="inlineStr">
        <is>
          <t>Empresa</t>
        </is>
      </c>
      <c r="C6" s="17" t="inlineStr">
        <is>
          <t>[NOMBRE DE LA EMPRESA]</t>
        </is>
      </c>
      <c r="D6" s="18" t="n"/>
      <c r="E6" s="1" t="n"/>
      <c r="F6" s="1" t="n"/>
      <c r="G6" s="1" t="n"/>
      <c r="H6" s="1" t="n"/>
      <c r="I6" s="1" t="n"/>
      <c r="J6" s="1" t="n"/>
    </row>
    <row r="7" ht="17" customHeight="1">
      <c r="A7" s="1" t="n"/>
      <c r="B7" s="10" t="inlineStr">
        <is>
          <t>Periodo del reporte</t>
        </is>
      </c>
      <c r="C7" s="17" t="inlineStr">
        <is>
          <t>Enero – Diciembre 2026</t>
        </is>
      </c>
      <c r="D7" s="1" t="n"/>
      <c r="E7" s="1" t="n"/>
      <c r="F7" s="1" t="n"/>
      <c r="G7" s="1" t="n"/>
      <c r="H7" s="1" t="n"/>
      <c r="I7" s="1" t="n"/>
      <c r="J7" s="1" t="n"/>
    </row>
    <row r="8" ht="17" customHeight="1">
      <c r="A8" s="1" t="n"/>
      <c r="B8" s="10" t="inlineStr">
        <is>
          <t>Moneda y unidad</t>
        </is>
      </c>
      <c r="C8" s="17" t="inlineStr">
        <is>
          <t>COP, millones</t>
        </is>
      </c>
      <c r="D8" s="10" t="inlineStr">
        <is>
          <t>Toda la plantilla usa la misma unidad.</t>
        </is>
      </c>
      <c r="E8" s="1" t="n"/>
      <c r="F8" s="1" t="n"/>
      <c r="G8" s="1" t="n"/>
      <c r="H8" s="1" t="n"/>
      <c r="I8" s="1" t="n"/>
      <c r="J8" s="1" t="n"/>
    </row>
    <row r="9" ht="17" customHeight="1">
      <c r="A9" s="1" t="n"/>
      <c r="B9" s="10" t="inlineStr">
        <is>
          <t>Mes de corte (1 a 12)</t>
        </is>
      </c>
      <c r="C9" s="17" t="n">
        <v>12</v>
      </c>
      <c r="D9" s="10" t="inlineStr">
        <is>
          <t>Hasta qué mes hay cifra real. El resumen solo mira hasta ahí.</t>
        </is>
      </c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6" customHeight="1">
      <c r="A11" s="1" t="n"/>
      <c r="B11" s="9" t="inlineStr">
        <is>
          <t>LÍNEAS DE NEGOCIO</t>
        </is>
      </c>
      <c r="C11" s="1" t="n"/>
      <c r="D11" s="10" t="inlineStr">
        <is>
          <t>Una junta no mira el consolidado: mira de dónde sale cada margen.</t>
        </is>
      </c>
      <c r="E11" s="1" t="n"/>
      <c r="F11" s="1" t="n"/>
      <c r="G11" s="1" t="n"/>
      <c r="H11" s="1" t="n"/>
      <c r="I11" s="1" t="n"/>
      <c r="J11" s="1" t="n"/>
    </row>
    <row r="12" ht="17" customHeight="1">
      <c r="A12" s="1" t="n"/>
      <c r="B12" s="16" t="inlineStr">
        <is>
          <t>Negocio 1</t>
        </is>
      </c>
      <c r="C12" s="17" t="inlineStr">
        <is>
          <t>Servicios</t>
        </is>
      </c>
      <c r="D12" s="18" t="n"/>
      <c r="E12" s="1" t="n"/>
      <c r="F12" s="1" t="n"/>
      <c r="G12" s="1" t="n"/>
      <c r="H12" s="1" t="n"/>
      <c r="I12" s="1" t="n"/>
      <c r="J12" s="1" t="n"/>
    </row>
    <row r="13" ht="17" customHeight="1">
      <c r="A13" s="1" t="n"/>
      <c r="B13" s="10" t="inlineStr">
        <is>
          <t>Negocio 2</t>
        </is>
      </c>
      <c r="C13" s="17" t="inlineStr">
        <is>
          <t>Licenciamiento</t>
        </is>
      </c>
      <c r="D13" s="1" t="n"/>
      <c r="E13" s="1" t="n"/>
      <c r="F13" s="1" t="n"/>
      <c r="G13" s="1" t="n"/>
      <c r="H13" s="1" t="n"/>
      <c r="I13" s="1" t="n"/>
      <c r="J13" s="1" t="n"/>
    </row>
    <row r="14" ht="17" customHeight="1">
      <c r="A14" s="1" t="n"/>
      <c r="B14" s="10" t="inlineStr">
        <is>
          <t>Negocio 3</t>
        </is>
      </c>
      <c r="C14" s="17" t="inlineStr">
        <is>
          <t>Proyectos</t>
        </is>
      </c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9" t="inlineStr">
        <is>
          <t>CATEGORÍAS DE GASTO ADMINISTRATIVO</t>
        </is>
      </c>
      <c r="C16" s="1" t="n"/>
      <c r="D16" s="10" t="inlineStr">
        <is>
          <t>Seis basta. El detalle de veinte no lo lee nadie.</t>
        </is>
      </c>
      <c r="E16" s="1" t="n"/>
      <c r="F16" s="1" t="n"/>
      <c r="G16" s="1" t="n"/>
      <c r="H16" s="1" t="n"/>
      <c r="I16" s="1" t="n"/>
      <c r="J16" s="1" t="n"/>
    </row>
    <row r="17" ht="17" customHeight="1">
      <c r="A17" s="1" t="n"/>
      <c r="B17" s="16" t="inlineStr">
        <is>
          <t>Categoría 1</t>
        </is>
      </c>
      <c r="C17" s="17" t="inlineStr">
        <is>
          <t>Nómina administrativa</t>
        </is>
      </c>
      <c r="D17" s="18" t="n"/>
      <c r="E17" s="1" t="n"/>
      <c r="F17" s="1" t="n"/>
      <c r="G17" s="1" t="n"/>
      <c r="H17" s="1" t="n"/>
      <c r="I17" s="1" t="n"/>
      <c r="J17" s="1" t="n"/>
    </row>
    <row r="18" ht="17" customHeight="1">
      <c r="A18" s="1" t="n"/>
      <c r="B18" s="10" t="inlineStr">
        <is>
          <t>Categoría 2</t>
        </is>
      </c>
      <c r="C18" s="17" t="inlineStr">
        <is>
          <t>Honorarios y asesorías</t>
        </is>
      </c>
      <c r="D18" s="1" t="n"/>
      <c r="E18" s="1" t="n"/>
      <c r="F18" s="1" t="n"/>
      <c r="G18" s="1" t="n"/>
      <c r="H18" s="1" t="n"/>
      <c r="I18" s="1" t="n"/>
      <c r="J18" s="1" t="n"/>
    </row>
    <row r="19" ht="17" customHeight="1">
      <c r="A19" s="1" t="n"/>
      <c r="B19" s="10" t="inlineStr">
        <is>
          <t>Categoría 3</t>
        </is>
      </c>
      <c r="C19" s="17" t="inlineStr">
        <is>
          <t>Arriendos y servicios</t>
        </is>
      </c>
      <c r="D19" s="1" t="n"/>
      <c r="E19" s="1" t="n"/>
      <c r="F19" s="1" t="n"/>
      <c r="G19" s="1" t="n"/>
      <c r="H19" s="1" t="n"/>
      <c r="I19" s="1" t="n"/>
      <c r="J19" s="1" t="n"/>
    </row>
    <row r="20" ht="17" customHeight="1">
      <c r="A20" s="1" t="n"/>
      <c r="B20" s="10" t="inlineStr">
        <is>
          <t>Categoría 4</t>
        </is>
      </c>
      <c r="C20" s="17" t="inlineStr">
        <is>
          <t>Tecnología y licencias</t>
        </is>
      </c>
      <c r="D20" s="1" t="n"/>
      <c r="E20" s="1" t="n"/>
      <c r="F20" s="1" t="n"/>
      <c r="G20" s="1" t="n"/>
      <c r="H20" s="1" t="n"/>
      <c r="I20" s="1" t="n"/>
      <c r="J20" s="1" t="n"/>
    </row>
    <row r="21" ht="17" customHeight="1">
      <c r="A21" s="1" t="n"/>
      <c r="B21" s="10" t="inlineStr">
        <is>
          <t>Categoría 5</t>
        </is>
      </c>
      <c r="C21" s="17" t="inlineStr">
        <is>
          <t>Viajes y representación</t>
        </is>
      </c>
      <c r="D21" s="1" t="n"/>
      <c r="E21" s="1" t="n"/>
      <c r="F21" s="1" t="n"/>
      <c r="G21" s="1" t="n"/>
      <c r="H21" s="1" t="n"/>
      <c r="I21" s="1" t="n"/>
      <c r="J21" s="1" t="n"/>
    </row>
    <row r="22" ht="17" customHeight="1">
      <c r="A22" s="1" t="n"/>
      <c r="B22" s="10" t="inlineStr">
        <is>
          <t>Categoría 6</t>
        </is>
      </c>
      <c r="C22" s="17" t="inlineStr">
        <is>
          <t>Otros gastos</t>
        </is>
      </c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9" t="inlineStr">
        <is>
          <t>UMBRALES</t>
        </is>
      </c>
      <c r="C24" s="1" t="n"/>
      <c r="D24" s="10" t="inlineStr">
        <is>
          <t>Los define tu política, no la plantilla. Marcan qué se lee como acción pendiente.</t>
        </is>
      </c>
      <c r="E24" s="1" t="n"/>
      <c r="F24" s="1" t="n"/>
      <c r="G24" s="1" t="n"/>
      <c r="H24" s="1" t="n"/>
      <c r="I24" s="1" t="n"/>
      <c r="J24" s="1" t="n"/>
    </row>
    <row r="25" ht="17" customHeight="1">
      <c r="A25" s="1" t="n"/>
      <c r="B25" s="16" t="inlineStr">
        <is>
          <t>Desviación de ingreso tolerada</t>
        </is>
      </c>
      <c r="C25" s="19" t="n">
        <v>-0.05</v>
      </c>
      <c r="D25" s="16" t="inlineStr">
        <is>
          <t>Por debajo de esto, el bloque pide acción.</t>
        </is>
      </c>
      <c r="E25" s="1" t="n"/>
      <c r="F25" s="1" t="n"/>
      <c r="G25" s="1" t="n"/>
      <c r="H25" s="1" t="n"/>
      <c r="I25" s="1" t="n"/>
      <c r="J25" s="1" t="n"/>
    </row>
    <row r="26" ht="17" customHeight="1">
      <c r="A26" s="1" t="n"/>
      <c r="B26" s="10" t="inlineStr">
        <is>
          <t>Desviación de gasto tolerada</t>
        </is>
      </c>
      <c r="C26" s="19" t="n">
        <v>0.05</v>
      </c>
      <c r="D26" s="10" t="inlineStr">
        <is>
          <t>Por encima de esto, el bloque pide acción.</t>
        </is>
      </c>
      <c r="E26" s="1" t="n"/>
      <c r="F26" s="1" t="n"/>
      <c r="G26" s="1" t="n"/>
      <c r="H26" s="1" t="n"/>
      <c r="I26" s="1" t="n"/>
      <c r="J26" s="1" t="n"/>
    </row>
    <row r="27" ht="17" customHeight="1">
      <c r="A27" s="1" t="n"/>
      <c r="B27" s="10" t="inlineStr">
        <is>
          <t>Margen bruto mínimo aceptable</t>
        </is>
      </c>
      <c r="C27" s="19" t="n">
        <v>0.3</v>
      </c>
      <c r="D27" s="10" t="inlineStr">
        <is>
          <t>Consolidado y por línea.</t>
        </is>
      </c>
      <c r="E27" s="1" t="n"/>
      <c r="F27" s="1" t="n"/>
      <c r="G27" s="1" t="n"/>
      <c r="H27" s="1" t="n"/>
      <c r="I27" s="1" t="n"/>
      <c r="J27" s="1" t="n"/>
    </row>
    <row r="28" ht="17" customHeight="1">
      <c r="A28" s="1" t="n"/>
      <c r="B28" s="10" t="inlineStr">
        <is>
          <t>Caja mínima de operación</t>
        </is>
      </c>
      <c r="C28" s="20" t="n">
        <v>1500</v>
      </c>
      <c r="D28" s="10" t="inlineStr">
        <is>
          <t>En la unidad de arriba.</t>
        </is>
      </c>
      <c r="E28" s="1" t="n"/>
      <c r="F28" s="1" t="n"/>
      <c r="G28" s="1" t="n"/>
      <c r="H28" s="1" t="n"/>
      <c r="I28" s="1" t="n"/>
      <c r="J28" s="1" t="n"/>
    </row>
    <row r="29" ht="17" customHeight="1">
      <c r="A29" s="1" t="n"/>
      <c r="B29" s="10" t="inlineStr">
        <is>
          <t>Apalancamiento máximo (Deuda/EBITDA)</t>
        </is>
      </c>
      <c r="C29" s="21" t="n">
        <v>3</v>
      </c>
      <c r="D29" s="10" t="inlineStr">
        <is>
          <t>Covenant o política interna.</t>
        </is>
      </c>
      <c r="E29" s="1" t="n"/>
      <c r="F29" s="1" t="n"/>
      <c r="G29" s="1" t="n"/>
      <c r="H29" s="1" t="n"/>
      <c r="I29" s="1" t="n"/>
      <c r="J29" s="1" t="n"/>
    </row>
    <row r="30" ht="17" customHeight="1">
      <c r="A30" s="1" t="n"/>
      <c r="B30" s="10" t="inlineStr">
        <is>
          <t>Días de cartera objetivo</t>
        </is>
      </c>
      <c r="C30" s="22" t="n">
        <v>45</v>
      </c>
      <c r="D30" s="10" t="inlineStr">
        <is>
          <t>También se usa como referencia de proveedores.</t>
        </is>
      </c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16" customHeight="1">
      <c r="A33" s="1" t="n"/>
      <c r="B33" s="23" t="inlineStr">
        <is>
          <t>Un umbral discutible es infinitamente mejor que ninguno. Su función no es tener razón: es que la junta deje de discutir si algo está mal y pase a discutir qué se hizo.</t>
        </is>
      </c>
      <c r="E33" s="1" t="n"/>
      <c r="F33" s="1" t="n"/>
      <c r="G33" s="1" t="n"/>
      <c r="H33" s="1" t="n"/>
      <c r="I33" s="1" t="n"/>
      <c r="J33" s="1" t="n"/>
    </row>
    <row r="34" ht="16" customHeight="1">
      <c r="A34" s="1" t="n"/>
      <c r="E34" s="1" t="n"/>
      <c r="F34" s="1" t="n"/>
      <c r="G34" s="1" t="n"/>
      <c r="H34" s="1" t="n"/>
      <c r="I34" s="1" t="n"/>
      <c r="J34" s="1" t="n"/>
    </row>
    <row r="35" ht="16" customHeight="1">
      <c r="A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</sheetData>
  <mergeCells count="1">
    <mergeCell ref="B33:D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822A"/>
    <outlinePr summaryBelow="1" summaryRight="1"/>
    <pageSetUpPr/>
  </sheetPr>
  <dimension ref="A1:R9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8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6" customHeight="1">
      <c r="A2" s="1" t="n"/>
      <c r="B2" s="14" t="inlineStr">
        <is>
          <t>DATOS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5" t="inlineStr">
        <is>
          <t>La única hoja donde se escribe. Cifras en millones. Todo lo demás en este archivo se calcula solo.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6" customHeight="1">
      <c r="A5" s="1" t="n"/>
      <c r="B5" s="9" t="inlineStr">
        <is>
          <t>INGRESOS Y PIPELINE</t>
        </is>
      </c>
      <c r="C5" s="1" t="n"/>
      <c r="D5" s="10" t="inlineStr">
        <is>
          <t>Alineado con comercial. Si el forecast lo arma finanzas sola, la junta lo va a notar.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15" customHeight="1">
      <c r="A6" s="1" t="n"/>
      <c r="B6" s="24" t="inlineStr">
        <is>
          <t>LÍNEA DE NEGOCIO</t>
        </is>
      </c>
      <c r="C6" s="25" t="n"/>
      <c r="D6" s="26" t="inlineStr">
        <is>
          <t>Ene</t>
        </is>
      </c>
      <c r="E6" s="26" t="inlineStr">
        <is>
          <t>Feb</t>
        </is>
      </c>
      <c r="F6" s="26" t="inlineStr">
        <is>
          <t>Mar</t>
        </is>
      </c>
      <c r="G6" s="26" t="inlineStr">
        <is>
          <t>Abr</t>
        </is>
      </c>
      <c r="H6" s="26" t="inlineStr">
        <is>
          <t>May</t>
        </is>
      </c>
      <c r="I6" s="26" t="inlineStr">
        <is>
          <t>Jun</t>
        </is>
      </c>
      <c r="J6" s="26" t="inlineStr">
        <is>
          <t>Jul</t>
        </is>
      </c>
      <c r="K6" s="26" t="inlineStr">
        <is>
          <t>Ago</t>
        </is>
      </c>
      <c r="L6" s="26" t="inlineStr">
        <is>
          <t>Sep</t>
        </is>
      </c>
      <c r="M6" s="26" t="inlineStr">
        <is>
          <t>Oct</t>
        </is>
      </c>
      <c r="N6" s="26" t="inlineStr">
        <is>
          <t>Nov</t>
        </is>
      </c>
      <c r="O6" s="26" t="inlineStr">
        <is>
          <t>Dic</t>
        </is>
      </c>
      <c r="P6" s="26" t="inlineStr">
        <is>
          <t>AÑO</t>
        </is>
      </c>
      <c r="Q6" s="1" t="n"/>
      <c r="R6" s="1" t="n"/>
    </row>
    <row r="7">
      <c r="A7" s="1" t="n"/>
      <c r="B7" s="27" t="inlineStr">
        <is>
          <t>REAL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 ht="15" customHeight="1">
      <c r="A8" s="1" t="n"/>
      <c r="B8" s="28">
        <f>'0 · Configuración'!C12</f>
        <v/>
      </c>
      <c r="C8" s="1" t="n"/>
      <c r="D8" s="29" t="n">
        <v>1180</v>
      </c>
      <c r="E8" s="29" t="n">
        <v>1210</v>
      </c>
      <c r="F8" s="29" t="n">
        <v>1260</v>
      </c>
      <c r="G8" s="29" t="n">
        <v>1240</v>
      </c>
      <c r="H8" s="29" t="n">
        <v>1300</v>
      </c>
      <c r="I8" s="29" t="n">
        <v>1350</v>
      </c>
      <c r="J8" s="29" t="n">
        <v>1320</v>
      </c>
      <c r="K8" s="29" t="n">
        <v>1380</v>
      </c>
      <c r="L8" s="29" t="n">
        <v>1410</v>
      </c>
      <c r="M8" s="29" t="n">
        <v>1450</v>
      </c>
      <c r="N8" s="29" t="n">
        <v>1490</v>
      </c>
      <c r="O8" s="29" t="n">
        <v>1560</v>
      </c>
      <c r="P8" s="30">
        <f>SUM(D8:O8)</f>
        <v/>
      </c>
      <c r="Q8" s="1" t="n"/>
      <c r="R8" s="1" t="n"/>
    </row>
    <row r="9" ht="15" customHeight="1">
      <c r="A9" s="1" t="n"/>
      <c r="B9" s="28">
        <f>'0 · Configuración'!C13</f>
        <v/>
      </c>
      <c r="C9" s="1" t="n"/>
      <c r="D9" s="29" t="n">
        <v>820</v>
      </c>
      <c r="E9" s="29" t="n">
        <v>830</v>
      </c>
      <c r="F9" s="29" t="n">
        <v>810</v>
      </c>
      <c r="G9" s="29" t="n">
        <v>850</v>
      </c>
      <c r="H9" s="29" t="n">
        <v>880</v>
      </c>
      <c r="I9" s="29" t="n">
        <v>860</v>
      </c>
      <c r="J9" s="29" t="n">
        <v>900</v>
      </c>
      <c r="K9" s="29" t="n">
        <v>910</v>
      </c>
      <c r="L9" s="29" t="n">
        <v>930</v>
      </c>
      <c r="M9" s="29" t="n">
        <v>950</v>
      </c>
      <c r="N9" s="29" t="n">
        <v>980</v>
      </c>
      <c r="O9" s="29" t="n">
        <v>1020</v>
      </c>
      <c r="P9" s="30">
        <f>SUM(D9:O9)</f>
        <v/>
      </c>
      <c r="Q9" s="1" t="n"/>
      <c r="R9" s="1" t="n"/>
    </row>
    <row r="10" ht="15" customHeight="1">
      <c r="A10" s="1" t="n"/>
      <c r="B10" s="28">
        <f>'0 · Configuración'!C14</f>
        <v/>
      </c>
      <c r="C10" s="1" t="n"/>
      <c r="D10" s="29" t="n">
        <v>540</v>
      </c>
      <c r="E10" s="29" t="n">
        <v>610</v>
      </c>
      <c r="F10" s="29" t="n">
        <v>580</v>
      </c>
      <c r="G10" s="29" t="n">
        <v>700</v>
      </c>
      <c r="H10" s="29" t="n">
        <v>650</v>
      </c>
      <c r="I10" s="29" t="n">
        <v>720</v>
      </c>
      <c r="J10" s="29" t="n">
        <v>690</v>
      </c>
      <c r="K10" s="29" t="n">
        <v>760</v>
      </c>
      <c r="L10" s="29" t="n">
        <v>800</v>
      </c>
      <c r="M10" s="29" t="n">
        <v>780</v>
      </c>
      <c r="N10" s="29" t="n">
        <v>830</v>
      </c>
      <c r="O10" s="29" t="n">
        <v>910</v>
      </c>
      <c r="P10" s="30">
        <f>SUM(D10:O10)</f>
        <v/>
      </c>
      <c r="Q10" s="1" t="n"/>
      <c r="R10" s="1" t="n"/>
    </row>
    <row r="11" ht="15" customHeight="1">
      <c r="A11" s="1" t="n"/>
      <c r="B11" s="31" t="inlineStr">
        <is>
          <t>Total ingresos</t>
        </is>
      </c>
      <c r="C11" s="1" t="n"/>
      <c r="D11" s="32">
        <f>SUM(D8:D10)</f>
        <v/>
      </c>
      <c r="E11" s="32">
        <f>SUM(E8:E10)</f>
        <v/>
      </c>
      <c r="F11" s="32">
        <f>SUM(F8:F10)</f>
        <v/>
      </c>
      <c r="G11" s="32">
        <f>SUM(G8:G10)</f>
        <v/>
      </c>
      <c r="H11" s="32">
        <f>SUM(H8:H10)</f>
        <v/>
      </c>
      <c r="I11" s="32">
        <f>SUM(I8:I10)</f>
        <v/>
      </c>
      <c r="J11" s="32">
        <f>SUM(J8:J10)</f>
        <v/>
      </c>
      <c r="K11" s="32">
        <f>SUM(K8:K10)</f>
        <v/>
      </c>
      <c r="L11" s="32">
        <f>SUM(L8:L10)</f>
        <v/>
      </c>
      <c r="M11" s="32">
        <f>SUM(M8:M10)</f>
        <v/>
      </c>
      <c r="N11" s="32">
        <f>SUM(N8:N10)</f>
        <v/>
      </c>
      <c r="O11" s="32">
        <f>SUM(O8:O10)</f>
        <v/>
      </c>
      <c r="P11" s="32">
        <f>SUM(D11:O11)</f>
        <v/>
      </c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27" t="inlineStr">
        <is>
          <t>PRESUPUESTO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 ht="15" customHeight="1">
      <c r="A14" s="1" t="n"/>
      <c r="B14" s="28">
        <f>'0 · Configuración'!C12</f>
        <v/>
      </c>
      <c r="C14" s="1" t="n"/>
      <c r="D14" s="29" t="n">
        <v>1200</v>
      </c>
      <c r="E14" s="29" t="n">
        <v>1240</v>
      </c>
      <c r="F14" s="29" t="n">
        <v>1280</v>
      </c>
      <c r="G14" s="29" t="n">
        <v>1300</v>
      </c>
      <c r="H14" s="29" t="n">
        <v>1330</v>
      </c>
      <c r="I14" s="29" t="n">
        <v>1360</v>
      </c>
      <c r="J14" s="29" t="n">
        <v>1390</v>
      </c>
      <c r="K14" s="29" t="n">
        <v>1420</v>
      </c>
      <c r="L14" s="29" t="n">
        <v>1450</v>
      </c>
      <c r="M14" s="29" t="n">
        <v>1480</v>
      </c>
      <c r="N14" s="29" t="n">
        <v>1510</v>
      </c>
      <c r="O14" s="29" t="n">
        <v>1540</v>
      </c>
      <c r="P14" s="30">
        <f>SUM(D14:O14)</f>
        <v/>
      </c>
      <c r="Q14" s="1" t="n"/>
      <c r="R14" s="1" t="n"/>
    </row>
    <row r="15" ht="15" customHeight="1">
      <c r="A15" s="1" t="n"/>
      <c r="B15" s="28">
        <f>'0 · Configuración'!C13</f>
        <v/>
      </c>
      <c r="C15" s="1" t="n"/>
      <c r="D15" s="29" t="n">
        <v>850</v>
      </c>
      <c r="E15" s="29" t="n">
        <v>860</v>
      </c>
      <c r="F15" s="29" t="n">
        <v>870</v>
      </c>
      <c r="G15" s="29" t="n">
        <v>880</v>
      </c>
      <c r="H15" s="29" t="n">
        <v>890</v>
      </c>
      <c r="I15" s="29" t="n">
        <v>900</v>
      </c>
      <c r="J15" s="29" t="n">
        <v>910</v>
      </c>
      <c r="K15" s="29" t="n">
        <v>920</v>
      </c>
      <c r="L15" s="29" t="n">
        <v>930</v>
      </c>
      <c r="M15" s="29" t="n">
        <v>940</v>
      </c>
      <c r="N15" s="29" t="n">
        <v>950</v>
      </c>
      <c r="O15" s="29" t="n">
        <v>960</v>
      </c>
      <c r="P15" s="30">
        <f>SUM(D15:O15)</f>
        <v/>
      </c>
      <c r="Q15" s="1" t="n"/>
      <c r="R15" s="1" t="n"/>
    </row>
    <row r="16" ht="15" customHeight="1">
      <c r="A16" s="1" t="n"/>
      <c r="B16" s="28">
        <f>'0 · Configuración'!C14</f>
        <v/>
      </c>
      <c r="C16" s="1" t="n"/>
      <c r="D16" s="29" t="n">
        <v>600</v>
      </c>
      <c r="E16" s="29" t="n">
        <v>620</v>
      </c>
      <c r="F16" s="29" t="n">
        <v>640</v>
      </c>
      <c r="G16" s="29" t="n">
        <v>660</v>
      </c>
      <c r="H16" s="29" t="n">
        <v>680</v>
      </c>
      <c r="I16" s="29" t="n">
        <v>700</v>
      </c>
      <c r="J16" s="29" t="n">
        <v>720</v>
      </c>
      <c r="K16" s="29" t="n">
        <v>740</v>
      </c>
      <c r="L16" s="29" t="n">
        <v>760</v>
      </c>
      <c r="M16" s="29" t="n">
        <v>780</v>
      </c>
      <c r="N16" s="29" t="n">
        <v>800</v>
      </c>
      <c r="O16" s="29" t="n">
        <v>820</v>
      </c>
      <c r="P16" s="30">
        <f>SUM(D16:O16)</f>
        <v/>
      </c>
      <c r="Q16" s="1" t="n"/>
      <c r="R16" s="1" t="n"/>
    </row>
    <row r="17" ht="15" customHeight="1">
      <c r="A17" s="1" t="n"/>
      <c r="B17" s="31" t="inlineStr">
        <is>
          <t>Total presupuestado</t>
        </is>
      </c>
      <c r="C17" s="1" t="n"/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  <c r="O17" s="32">
        <f>SUM(O14:O16)</f>
        <v/>
      </c>
      <c r="P17" s="32">
        <f>SUM(D17:O17)</f>
        <v/>
      </c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27" t="inlineStr">
        <is>
          <t>PIPELINE PONDERADO (COMERCIAL)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 ht="15" customHeight="1">
      <c r="A20" s="1" t="n"/>
      <c r="B20" s="28">
        <f>'0 · Configuración'!C12</f>
        <v/>
      </c>
      <c r="C20" s="1" t="n"/>
      <c r="D20" s="29" t="n">
        <v>1250</v>
      </c>
      <c r="E20" s="29" t="n">
        <v>1290</v>
      </c>
      <c r="F20" s="29" t="n">
        <v>1330</v>
      </c>
      <c r="G20" s="29" t="n">
        <v>1350</v>
      </c>
      <c r="H20" s="29" t="n">
        <v>1380</v>
      </c>
      <c r="I20" s="29" t="n">
        <v>1410</v>
      </c>
      <c r="J20" s="29" t="n">
        <v>1440</v>
      </c>
      <c r="K20" s="29" t="n">
        <v>1470</v>
      </c>
      <c r="L20" s="29" t="n">
        <v>1500</v>
      </c>
      <c r="M20" s="29" t="n">
        <v>1530</v>
      </c>
      <c r="N20" s="29" t="n">
        <v>1560</v>
      </c>
      <c r="O20" s="29" t="n">
        <v>1600</v>
      </c>
      <c r="P20" s="30">
        <f>SUM(D20:O20)</f>
        <v/>
      </c>
      <c r="Q20" s="1" t="n"/>
      <c r="R20" s="1" t="n"/>
    </row>
    <row r="21" ht="15" customHeight="1">
      <c r="A21" s="1" t="n"/>
      <c r="B21" s="28">
        <f>'0 · Configuración'!C13</f>
        <v/>
      </c>
      <c r="C21" s="1" t="n"/>
      <c r="D21" s="29" t="n">
        <v>860</v>
      </c>
      <c r="E21" s="29" t="n">
        <v>870</v>
      </c>
      <c r="F21" s="29" t="n">
        <v>880</v>
      </c>
      <c r="G21" s="29" t="n">
        <v>890</v>
      </c>
      <c r="H21" s="29" t="n">
        <v>900</v>
      </c>
      <c r="I21" s="29" t="n">
        <v>910</v>
      </c>
      <c r="J21" s="29" t="n">
        <v>920</v>
      </c>
      <c r="K21" s="29" t="n">
        <v>930</v>
      </c>
      <c r="L21" s="29" t="n">
        <v>940</v>
      </c>
      <c r="M21" s="29" t="n">
        <v>950</v>
      </c>
      <c r="N21" s="29" t="n">
        <v>960</v>
      </c>
      <c r="O21" s="29" t="n">
        <v>970</v>
      </c>
      <c r="P21" s="30">
        <f>SUM(D21:O21)</f>
        <v/>
      </c>
      <c r="Q21" s="1" t="n"/>
      <c r="R21" s="1" t="n"/>
    </row>
    <row r="22" ht="15" customHeight="1">
      <c r="A22" s="1" t="n"/>
      <c r="B22" s="28">
        <f>'0 · Configuración'!C14</f>
        <v/>
      </c>
      <c r="C22" s="1" t="n"/>
      <c r="D22" s="29" t="n">
        <v>640</v>
      </c>
      <c r="E22" s="29" t="n">
        <v>660</v>
      </c>
      <c r="F22" s="29" t="n">
        <v>690</v>
      </c>
      <c r="G22" s="29" t="n">
        <v>710</v>
      </c>
      <c r="H22" s="29" t="n">
        <v>740</v>
      </c>
      <c r="I22" s="29" t="n">
        <v>760</v>
      </c>
      <c r="J22" s="29" t="n">
        <v>790</v>
      </c>
      <c r="K22" s="29" t="n">
        <v>810</v>
      </c>
      <c r="L22" s="29" t="n">
        <v>840</v>
      </c>
      <c r="M22" s="29" t="n">
        <v>860</v>
      </c>
      <c r="N22" s="29" t="n">
        <v>890</v>
      </c>
      <c r="O22" s="29" t="n">
        <v>910</v>
      </c>
      <c r="P22" s="30">
        <f>SUM(D22:O22)</f>
        <v/>
      </c>
      <c r="Q22" s="1" t="n"/>
      <c r="R22" s="1" t="n"/>
    </row>
    <row r="23" ht="15" customHeight="1">
      <c r="A23" s="1" t="n"/>
      <c r="B23" s="31" t="inlineStr">
        <is>
          <t>Total pipeline</t>
        </is>
      </c>
      <c r="C23" s="1" t="n"/>
      <c r="D23" s="32">
        <f>SUM(D20:D22)</f>
        <v/>
      </c>
      <c r="E23" s="32">
        <f>SUM(E20:E22)</f>
        <v/>
      </c>
      <c r="F23" s="32">
        <f>SUM(F20:F22)</f>
        <v/>
      </c>
      <c r="G23" s="32">
        <f>SUM(G20:G22)</f>
        <v/>
      </c>
      <c r="H23" s="32">
        <f>SUM(H20:H22)</f>
        <v/>
      </c>
      <c r="I23" s="32">
        <f>SUM(I20:I22)</f>
        <v/>
      </c>
      <c r="J23" s="32">
        <f>SUM(J20:J22)</f>
        <v/>
      </c>
      <c r="K23" s="32">
        <f>SUM(K20:K22)</f>
        <v/>
      </c>
      <c r="L23" s="32">
        <f>SUM(L20:L22)</f>
        <v/>
      </c>
      <c r="M23" s="32">
        <f>SUM(M20:M22)</f>
        <v/>
      </c>
      <c r="N23" s="32">
        <f>SUM(N20:N22)</f>
        <v/>
      </c>
      <c r="O23" s="32">
        <f>SUM(O20:O22)</f>
        <v/>
      </c>
      <c r="P23" s="32">
        <f>SUM(D23:O23)</f>
        <v/>
      </c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 ht="16" customHeight="1">
      <c r="A26" s="1" t="n"/>
      <c r="B26" s="9" t="inlineStr">
        <is>
          <t>COSTO DIRECTO</t>
        </is>
      </c>
      <c r="C26" s="1" t="n"/>
      <c r="D26" s="10" t="inlineStr">
        <is>
          <t>Solo lo atribuible a cada negocio. Lo demás es gasto administrativo.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 ht="15" customHeight="1">
      <c r="A27" s="1" t="n"/>
      <c r="B27" s="24" t="inlineStr">
        <is>
          <t>LÍNEA DE NEGOCIO</t>
        </is>
      </c>
      <c r="C27" s="25" t="n"/>
      <c r="D27" s="26" t="inlineStr">
        <is>
          <t>Ene</t>
        </is>
      </c>
      <c r="E27" s="26" t="inlineStr">
        <is>
          <t>Feb</t>
        </is>
      </c>
      <c r="F27" s="26" t="inlineStr">
        <is>
          <t>Mar</t>
        </is>
      </c>
      <c r="G27" s="26" t="inlineStr">
        <is>
          <t>Abr</t>
        </is>
      </c>
      <c r="H27" s="26" t="inlineStr">
        <is>
          <t>May</t>
        </is>
      </c>
      <c r="I27" s="26" t="inlineStr">
        <is>
          <t>Jun</t>
        </is>
      </c>
      <c r="J27" s="26" t="inlineStr">
        <is>
          <t>Jul</t>
        </is>
      </c>
      <c r="K27" s="26" t="inlineStr">
        <is>
          <t>Ago</t>
        </is>
      </c>
      <c r="L27" s="26" t="inlineStr">
        <is>
          <t>Sep</t>
        </is>
      </c>
      <c r="M27" s="26" t="inlineStr">
        <is>
          <t>Oct</t>
        </is>
      </c>
      <c r="N27" s="26" t="inlineStr">
        <is>
          <t>Nov</t>
        </is>
      </c>
      <c r="O27" s="26" t="inlineStr">
        <is>
          <t>Dic</t>
        </is>
      </c>
      <c r="P27" s="26" t="inlineStr">
        <is>
          <t>AÑO</t>
        </is>
      </c>
      <c r="Q27" s="1" t="n"/>
      <c r="R27" s="1" t="n"/>
    </row>
    <row r="28">
      <c r="A28" s="1" t="n"/>
      <c r="B28" s="27" t="inlineStr">
        <is>
          <t>REAL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 ht="15" customHeight="1">
      <c r="A29" s="1" t="n"/>
      <c r="B29" s="28">
        <f>'0 · Configuración'!C12</f>
        <v/>
      </c>
      <c r="C29" s="1" t="n"/>
      <c r="D29" s="29" t="n">
        <v>732</v>
      </c>
      <c r="E29" s="29" t="n">
        <v>750</v>
      </c>
      <c r="F29" s="29" t="n">
        <v>781</v>
      </c>
      <c r="G29" s="29" t="n">
        <v>769</v>
      </c>
      <c r="H29" s="29" t="n">
        <v>806</v>
      </c>
      <c r="I29" s="29" t="n">
        <v>837</v>
      </c>
      <c r="J29" s="29" t="n">
        <v>818</v>
      </c>
      <c r="K29" s="29" t="n">
        <v>856</v>
      </c>
      <c r="L29" s="29" t="n">
        <v>874</v>
      </c>
      <c r="M29" s="29" t="n">
        <v>899</v>
      </c>
      <c r="N29" s="29" t="n">
        <v>924</v>
      </c>
      <c r="O29" s="29" t="n">
        <v>967</v>
      </c>
      <c r="P29" s="30">
        <f>SUM(D29:O29)</f>
        <v/>
      </c>
      <c r="Q29" s="1" t="n"/>
      <c r="R29" s="1" t="n"/>
    </row>
    <row r="30" ht="15" customHeight="1">
      <c r="A30" s="1" t="n"/>
      <c r="B30" s="28">
        <f>'0 · Configuración'!C13</f>
        <v/>
      </c>
      <c r="C30" s="1" t="n"/>
      <c r="D30" s="29" t="n">
        <v>287</v>
      </c>
      <c r="E30" s="29" t="n">
        <v>290</v>
      </c>
      <c r="F30" s="29" t="n">
        <v>284</v>
      </c>
      <c r="G30" s="29" t="n">
        <v>298</v>
      </c>
      <c r="H30" s="29" t="n">
        <v>308</v>
      </c>
      <c r="I30" s="29" t="n">
        <v>301</v>
      </c>
      <c r="J30" s="29" t="n">
        <v>315</v>
      </c>
      <c r="K30" s="29" t="n">
        <v>318</v>
      </c>
      <c r="L30" s="29" t="n">
        <v>326</v>
      </c>
      <c r="M30" s="29" t="n">
        <v>332</v>
      </c>
      <c r="N30" s="29" t="n">
        <v>343</v>
      </c>
      <c r="O30" s="29" t="n">
        <v>357</v>
      </c>
      <c r="P30" s="30">
        <f>SUM(D30:O30)</f>
        <v/>
      </c>
      <c r="Q30" s="1" t="n"/>
      <c r="R30" s="1" t="n"/>
    </row>
    <row r="31" ht="15" customHeight="1">
      <c r="A31" s="1" t="n"/>
      <c r="B31" s="28">
        <f>'0 · Configuración'!C14</f>
        <v/>
      </c>
      <c r="C31" s="1" t="n"/>
      <c r="D31" s="29" t="n">
        <v>400</v>
      </c>
      <c r="E31" s="29" t="n">
        <v>451</v>
      </c>
      <c r="F31" s="29" t="n">
        <v>429</v>
      </c>
      <c r="G31" s="29" t="n">
        <v>518</v>
      </c>
      <c r="H31" s="29" t="n">
        <v>481</v>
      </c>
      <c r="I31" s="29" t="n">
        <v>533</v>
      </c>
      <c r="J31" s="29" t="n">
        <v>511</v>
      </c>
      <c r="K31" s="29" t="n">
        <v>562</v>
      </c>
      <c r="L31" s="29" t="n">
        <v>592</v>
      </c>
      <c r="M31" s="29" t="n">
        <v>577</v>
      </c>
      <c r="N31" s="29" t="n">
        <v>614</v>
      </c>
      <c r="O31" s="29" t="n">
        <v>673</v>
      </c>
      <c r="P31" s="30">
        <f>SUM(D31:O31)</f>
        <v/>
      </c>
      <c r="Q31" s="1" t="n"/>
      <c r="R31" s="1" t="n"/>
    </row>
    <row r="32" ht="15" customHeight="1">
      <c r="A32" s="1" t="n"/>
      <c r="B32" s="31" t="inlineStr">
        <is>
          <t>Total costo directo</t>
        </is>
      </c>
      <c r="C32" s="1" t="n"/>
      <c r="D32" s="32">
        <f>SUM(D29:D31)</f>
        <v/>
      </c>
      <c r="E32" s="32">
        <f>SUM(E29:E31)</f>
        <v/>
      </c>
      <c r="F32" s="32">
        <f>SUM(F29:F31)</f>
        <v/>
      </c>
      <c r="G32" s="32">
        <f>SUM(G29:G31)</f>
        <v/>
      </c>
      <c r="H32" s="32">
        <f>SUM(H29:H31)</f>
        <v/>
      </c>
      <c r="I32" s="32">
        <f>SUM(I29:I31)</f>
        <v/>
      </c>
      <c r="J32" s="32">
        <f>SUM(J29:J31)</f>
        <v/>
      </c>
      <c r="K32" s="32">
        <f>SUM(K29:K31)</f>
        <v/>
      </c>
      <c r="L32" s="32">
        <f>SUM(L29:L31)</f>
        <v/>
      </c>
      <c r="M32" s="32">
        <f>SUM(M29:M31)</f>
        <v/>
      </c>
      <c r="N32" s="32">
        <f>SUM(N29:N31)</f>
        <v/>
      </c>
      <c r="O32" s="32">
        <f>SUM(O29:O31)</f>
        <v/>
      </c>
      <c r="P32" s="32">
        <f>SUM(D32:O32)</f>
        <v/>
      </c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27" t="inlineStr">
        <is>
          <t>PRESUPUESTO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15" customHeight="1">
      <c r="A35" s="1" t="n"/>
      <c r="B35" s="28">
        <f>'0 · Configuración'!C12</f>
        <v/>
      </c>
      <c r="C35" s="1" t="n"/>
      <c r="D35" s="29" t="n">
        <v>720</v>
      </c>
      <c r="E35" s="29" t="n">
        <v>744</v>
      </c>
      <c r="F35" s="29" t="n">
        <v>768</v>
      </c>
      <c r="G35" s="29" t="n">
        <v>780</v>
      </c>
      <c r="H35" s="29" t="n">
        <v>798</v>
      </c>
      <c r="I35" s="29" t="n">
        <v>816</v>
      </c>
      <c r="J35" s="29" t="n">
        <v>834</v>
      </c>
      <c r="K35" s="29" t="n">
        <v>852</v>
      </c>
      <c r="L35" s="29" t="n">
        <v>870</v>
      </c>
      <c r="M35" s="29" t="n">
        <v>888</v>
      </c>
      <c r="N35" s="29" t="n">
        <v>906</v>
      </c>
      <c r="O35" s="29" t="n">
        <v>924</v>
      </c>
      <c r="P35" s="30">
        <f>SUM(D35:O35)</f>
        <v/>
      </c>
      <c r="Q35" s="1" t="n"/>
      <c r="R35" s="1" t="n"/>
    </row>
    <row r="36" ht="15" customHeight="1">
      <c r="A36" s="1" t="n"/>
      <c r="B36" s="28">
        <f>'0 · Configuración'!C13</f>
        <v/>
      </c>
      <c r="C36" s="1" t="n"/>
      <c r="D36" s="29" t="n">
        <v>298</v>
      </c>
      <c r="E36" s="29" t="n">
        <v>301</v>
      </c>
      <c r="F36" s="29" t="n">
        <v>304</v>
      </c>
      <c r="G36" s="29" t="n">
        <v>308</v>
      </c>
      <c r="H36" s="29" t="n">
        <v>312</v>
      </c>
      <c r="I36" s="29" t="n">
        <v>315</v>
      </c>
      <c r="J36" s="29" t="n">
        <v>318</v>
      </c>
      <c r="K36" s="29" t="n">
        <v>322</v>
      </c>
      <c r="L36" s="29" t="n">
        <v>326</v>
      </c>
      <c r="M36" s="29" t="n">
        <v>329</v>
      </c>
      <c r="N36" s="29" t="n">
        <v>332</v>
      </c>
      <c r="O36" s="29" t="n">
        <v>336</v>
      </c>
      <c r="P36" s="30">
        <f>SUM(D36:O36)</f>
        <v/>
      </c>
      <c r="Q36" s="1" t="n"/>
      <c r="R36" s="1" t="n"/>
    </row>
    <row r="37" ht="15" customHeight="1">
      <c r="A37" s="1" t="n"/>
      <c r="B37" s="28">
        <f>'0 · Configuración'!C14</f>
        <v/>
      </c>
      <c r="C37" s="1" t="n"/>
      <c r="D37" s="29" t="n">
        <v>420</v>
      </c>
      <c r="E37" s="29" t="n">
        <v>434</v>
      </c>
      <c r="F37" s="29" t="n">
        <v>448</v>
      </c>
      <c r="G37" s="29" t="n">
        <v>462</v>
      </c>
      <c r="H37" s="29" t="n">
        <v>476</v>
      </c>
      <c r="I37" s="29" t="n">
        <v>490</v>
      </c>
      <c r="J37" s="29" t="n">
        <v>504</v>
      </c>
      <c r="K37" s="29" t="n">
        <v>518</v>
      </c>
      <c r="L37" s="29" t="n">
        <v>532</v>
      </c>
      <c r="M37" s="29" t="n">
        <v>546</v>
      </c>
      <c r="N37" s="29" t="n">
        <v>560</v>
      </c>
      <c r="O37" s="29" t="n">
        <v>574</v>
      </c>
      <c r="P37" s="30">
        <f>SUM(D37:O37)</f>
        <v/>
      </c>
      <c r="Q37" s="1" t="n"/>
      <c r="R37" s="1" t="n"/>
    </row>
    <row r="38" ht="15" customHeight="1">
      <c r="A38" s="1" t="n"/>
      <c r="B38" s="31" t="inlineStr">
        <is>
          <t>Total costo presupuestado</t>
        </is>
      </c>
      <c r="C38" s="1" t="n"/>
      <c r="D38" s="32">
        <f>SUM(D35:D37)</f>
        <v/>
      </c>
      <c r="E38" s="32">
        <f>SUM(E35:E37)</f>
        <v/>
      </c>
      <c r="F38" s="32">
        <f>SUM(F35:F37)</f>
        <v/>
      </c>
      <c r="G38" s="32">
        <f>SUM(G35:G37)</f>
        <v/>
      </c>
      <c r="H38" s="32">
        <f>SUM(H35:H37)</f>
        <v/>
      </c>
      <c r="I38" s="32">
        <f>SUM(I35:I37)</f>
        <v/>
      </c>
      <c r="J38" s="32">
        <f>SUM(J35:J37)</f>
        <v/>
      </c>
      <c r="K38" s="32">
        <f>SUM(K35:K37)</f>
        <v/>
      </c>
      <c r="L38" s="32">
        <f>SUM(L35:L37)</f>
        <v/>
      </c>
      <c r="M38" s="32">
        <f>SUM(M35:M37)</f>
        <v/>
      </c>
      <c r="N38" s="32">
        <f>SUM(N35:N37)</f>
        <v/>
      </c>
      <c r="O38" s="32">
        <f>SUM(O35:O37)</f>
        <v/>
      </c>
      <c r="P38" s="32">
        <f>SUM(D38:O38)</f>
        <v/>
      </c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 ht="16" customHeight="1">
      <c r="A41" s="1" t="n"/>
      <c r="B41" s="9" t="inlineStr">
        <is>
          <t>GASTO ADMINISTRATIVO</t>
        </is>
      </c>
      <c r="C41" s="1" t="n"/>
      <c r="D41" s="10" t="inlineStr">
        <is>
          <t>Seis categorías. El detalle de veinte no lo lee nadie.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 ht="15" customHeight="1">
      <c r="A42" s="1" t="n"/>
      <c r="B42" s="24" t="inlineStr">
        <is>
          <t>CATEGORÍA</t>
        </is>
      </c>
      <c r="C42" s="25" t="n"/>
      <c r="D42" s="26" t="inlineStr">
        <is>
          <t>Ene</t>
        </is>
      </c>
      <c r="E42" s="26" t="inlineStr">
        <is>
          <t>Feb</t>
        </is>
      </c>
      <c r="F42" s="26" t="inlineStr">
        <is>
          <t>Mar</t>
        </is>
      </c>
      <c r="G42" s="26" t="inlineStr">
        <is>
          <t>Abr</t>
        </is>
      </c>
      <c r="H42" s="26" t="inlineStr">
        <is>
          <t>May</t>
        </is>
      </c>
      <c r="I42" s="26" t="inlineStr">
        <is>
          <t>Jun</t>
        </is>
      </c>
      <c r="J42" s="26" t="inlineStr">
        <is>
          <t>Jul</t>
        </is>
      </c>
      <c r="K42" s="26" t="inlineStr">
        <is>
          <t>Ago</t>
        </is>
      </c>
      <c r="L42" s="26" t="inlineStr">
        <is>
          <t>Sep</t>
        </is>
      </c>
      <c r="M42" s="26" t="inlineStr">
        <is>
          <t>Oct</t>
        </is>
      </c>
      <c r="N42" s="26" t="inlineStr">
        <is>
          <t>Nov</t>
        </is>
      </c>
      <c r="O42" s="26" t="inlineStr">
        <is>
          <t>Dic</t>
        </is>
      </c>
      <c r="P42" s="26" t="inlineStr">
        <is>
          <t>AÑO</t>
        </is>
      </c>
      <c r="Q42" s="1" t="n"/>
      <c r="R42" s="1" t="n"/>
    </row>
    <row r="43">
      <c r="A43" s="1" t="n"/>
      <c r="B43" s="27" t="inlineStr">
        <is>
          <t>REAL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 ht="15" customHeight="1">
      <c r="A44" s="1" t="n"/>
      <c r="B44" s="28">
        <f>'0 · Configuración'!C17</f>
        <v/>
      </c>
      <c r="C44" s="1" t="n"/>
      <c r="D44" s="29" t="n">
        <v>382</v>
      </c>
      <c r="E44" s="29" t="n">
        <v>384</v>
      </c>
      <c r="F44" s="29" t="n">
        <v>388</v>
      </c>
      <c r="G44" s="29" t="n">
        <v>391</v>
      </c>
      <c r="H44" s="29" t="n">
        <v>395</v>
      </c>
      <c r="I44" s="29" t="n">
        <v>398</v>
      </c>
      <c r="J44" s="29" t="n">
        <v>402</v>
      </c>
      <c r="K44" s="29" t="n">
        <v>405</v>
      </c>
      <c r="L44" s="29" t="n">
        <v>409</v>
      </c>
      <c r="M44" s="29" t="n">
        <v>412</v>
      </c>
      <c r="N44" s="29" t="n">
        <v>416</v>
      </c>
      <c r="O44" s="29" t="n">
        <v>448</v>
      </c>
      <c r="P44" s="30">
        <f>SUM(D44:O44)</f>
        <v/>
      </c>
      <c r="Q44" s="1" t="n"/>
      <c r="R44" s="1" t="n"/>
    </row>
    <row r="45" ht="15" customHeight="1">
      <c r="A45" s="1" t="n"/>
      <c r="B45" s="28">
        <f>'0 · Configuración'!C18</f>
        <v/>
      </c>
      <c r="C45" s="1" t="n"/>
      <c r="D45" s="29" t="n">
        <v>58</v>
      </c>
      <c r="E45" s="29" t="n">
        <v>62</v>
      </c>
      <c r="F45" s="29" t="n">
        <v>71</v>
      </c>
      <c r="G45" s="29" t="n">
        <v>60</v>
      </c>
      <c r="H45" s="29" t="n">
        <v>64</v>
      </c>
      <c r="I45" s="29" t="n">
        <v>88</v>
      </c>
      <c r="J45" s="29" t="n">
        <v>61</v>
      </c>
      <c r="K45" s="29" t="n">
        <v>63</v>
      </c>
      <c r="L45" s="29" t="n">
        <v>67</v>
      </c>
      <c r="M45" s="29" t="n">
        <v>72</v>
      </c>
      <c r="N45" s="29" t="n">
        <v>69</v>
      </c>
      <c r="O45" s="29" t="n">
        <v>95</v>
      </c>
      <c r="P45" s="30">
        <f>SUM(D45:O45)</f>
        <v/>
      </c>
      <c r="Q45" s="1" t="n"/>
      <c r="R45" s="1" t="n"/>
    </row>
    <row r="46" ht="15" customHeight="1">
      <c r="A46" s="1" t="n"/>
      <c r="B46" s="28">
        <f>'0 · Configuración'!C19</f>
        <v/>
      </c>
      <c r="C46" s="1" t="n"/>
      <c r="D46" s="29" t="n">
        <v>45</v>
      </c>
      <c r="E46" s="29" t="n">
        <v>45</v>
      </c>
      <c r="F46" s="29" t="n">
        <v>45</v>
      </c>
      <c r="G46" s="29" t="n">
        <v>46</v>
      </c>
      <c r="H46" s="29" t="n">
        <v>46</v>
      </c>
      <c r="I46" s="29" t="n">
        <v>46</v>
      </c>
      <c r="J46" s="29" t="n">
        <v>47</v>
      </c>
      <c r="K46" s="29" t="n">
        <v>47</v>
      </c>
      <c r="L46" s="29" t="n">
        <v>47</v>
      </c>
      <c r="M46" s="29" t="n">
        <v>48</v>
      </c>
      <c r="N46" s="29" t="n">
        <v>48</v>
      </c>
      <c r="O46" s="29" t="n">
        <v>48</v>
      </c>
      <c r="P46" s="30">
        <f>SUM(D46:O46)</f>
        <v/>
      </c>
      <c r="Q46" s="1" t="n"/>
      <c r="R46" s="1" t="n"/>
    </row>
    <row r="47" ht="15" customHeight="1">
      <c r="A47" s="1" t="n"/>
      <c r="B47" s="28">
        <f>'0 · Configuración'!C20</f>
        <v/>
      </c>
      <c r="C47" s="1" t="n"/>
      <c r="D47" s="29" t="n">
        <v>52</v>
      </c>
      <c r="E47" s="29" t="n">
        <v>54</v>
      </c>
      <c r="F47" s="29" t="n">
        <v>58</v>
      </c>
      <c r="G47" s="29" t="n">
        <v>61</v>
      </c>
      <c r="H47" s="29" t="n">
        <v>63</v>
      </c>
      <c r="I47" s="29" t="n">
        <v>66</v>
      </c>
      <c r="J47" s="29" t="n">
        <v>69</v>
      </c>
      <c r="K47" s="29" t="n">
        <v>72</v>
      </c>
      <c r="L47" s="29" t="n">
        <v>74</v>
      </c>
      <c r="M47" s="29" t="n">
        <v>77</v>
      </c>
      <c r="N47" s="29" t="n">
        <v>80</v>
      </c>
      <c r="O47" s="29" t="n">
        <v>83</v>
      </c>
      <c r="P47" s="30">
        <f>SUM(D47:O47)</f>
        <v/>
      </c>
      <c r="Q47" s="1" t="n"/>
      <c r="R47" s="1" t="n"/>
    </row>
    <row r="48" ht="15" customHeight="1">
      <c r="A48" s="1" t="n"/>
      <c r="B48" s="28">
        <f>'0 · Configuración'!C21</f>
        <v/>
      </c>
      <c r="C48" s="1" t="n"/>
      <c r="D48" s="29" t="n">
        <v>18</v>
      </c>
      <c r="E48" s="29" t="n">
        <v>24</v>
      </c>
      <c r="F48" s="29" t="n">
        <v>31</v>
      </c>
      <c r="G48" s="29" t="n">
        <v>22</v>
      </c>
      <c r="H48" s="29" t="n">
        <v>27</v>
      </c>
      <c r="I48" s="29" t="n">
        <v>35</v>
      </c>
      <c r="J48" s="29" t="n">
        <v>20</v>
      </c>
      <c r="K48" s="29" t="n">
        <v>26</v>
      </c>
      <c r="L48" s="29" t="n">
        <v>33</v>
      </c>
      <c r="M48" s="29" t="n">
        <v>29</v>
      </c>
      <c r="N48" s="29" t="n">
        <v>24</v>
      </c>
      <c r="O48" s="29" t="n">
        <v>38</v>
      </c>
      <c r="P48" s="30">
        <f>SUM(D48:O48)</f>
        <v/>
      </c>
      <c r="Q48" s="1" t="n"/>
      <c r="R48" s="1" t="n"/>
    </row>
    <row r="49" ht="15" customHeight="1">
      <c r="A49" s="1" t="n"/>
      <c r="B49" s="28">
        <f>'0 · Configuración'!C22</f>
        <v/>
      </c>
      <c r="C49" s="1" t="n"/>
      <c r="D49" s="29" t="n">
        <v>16</v>
      </c>
      <c r="E49" s="29" t="n">
        <v>19</v>
      </c>
      <c r="F49" s="29" t="n">
        <v>21</v>
      </c>
      <c r="G49" s="29" t="n">
        <v>17</v>
      </c>
      <c r="H49" s="29" t="n">
        <v>22</v>
      </c>
      <c r="I49" s="29" t="n">
        <v>25</v>
      </c>
      <c r="J49" s="29" t="n">
        <v>18</v>
      </c>
      <c r="K49" s="29" t="n">
        <v>20</v>
      </c>
      <c r="L49" s="29" t="n">
        <v>23</v>
      </c>
      <c r="M49" s="29" t="n">
        <v>21</v>
      </c>
      <c r="N49" s="29" t="n">
        <v>19</v>
      </c>
      <c r="O49" s="29" t="n">
        <v>34</v>
      </c>
      <c r="P49" s="30">
        <f>SUM(D49:O49)</f>
        <v/>
      </c>
      <c r="Q49" s="1" t="n"/>
      <c r="R49" s="1" t="n"/>
    </row>
    <row r="50" ht="15" customHeight="1">
      <c r="A50" s="1" t="n"/>
      <c r="B50" s="31" t="inlineStr">
        <is>
          <t>Total gasto administrativo</t>
        </is>
      </c>
      <c r="C50" s="1" t="n"/>
      <c r="D50" s="32">
        <f>SUM(D44:D49)</f>
        <v/>
      </c>
      <c r="E50" s="32">
        <f>SUM(E44:E49)</f>
        <v/>
      </c>
      <c r="F50" s="32">
        <f>SUM(F44:F49)</f>
        <v/>
      </c>
      <c r="G50" s="32">
        <f>SUM(G44:G49)</f>
        <v/>
      </c>
      <c r="H50" s="32">
        <f>SUM(H44:H49)</f>
        <v/>
      </c>
      <c r="I50" s="32">
        <f>SUM(I44:I49)</f>
        <v/>
      </c>
      <c r="J50" s="32">
        <f>SUM(J44:J49)</f>
        <v/>
      </c>
      <c r="K50" s="32">
        <f>SUM(K44:K49)</f>
        <v/>
      </c>
      <c r="L50" s="32">
        <f>SUM(L44:L49)</f>
        <v/>
      </c>
      <c r="M50" s="32">
        <f>SUM(M44:M49)</f>
        <v/>
      </c>
      <c r="N50" s="32">
        <f>SUM(N44:N49)</f>
        <v/>
      </c>
      <c r="O50" s="32">
        <f>SUM(O44:O49)</f>
        <v/>
      </c>
      <c r="P50" s="32">
        <f>SUM(D50:O50)</f>
        <v/>
      </c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27" t="inlineStr">
        <is>
          <t>PRESUPUESTO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 ht="15" customHeight="1">
      <c r="A53" s="1" t="n"/>
      <c r="B53" s="28">
        <f>'0 · Configuración'!C17</f>
        <v/>
      </c>
      <c r="C53" s="1" t="n"/>
      <c r="D53" s="29" t="n">
        <v>380</v>
      </c>
      <c r="E53" s="29" t="n">
        <v>380</v>
      </c>
      <c r="F53" s="29" t="n">
        <v>385</v>
      </c>
      <c r="G53" s="29" t="n">
        <v>385</v>
      </c>
      <c r="H53" s="29" t="n">
        <v>390</v>
      </c>
      <c r="I53" s="29" t="n">
        <v>390</v>
      </c>
      <c r="J53" s="29" t="n">
        <v>400</v>
      </c>
      <c r="K53" s="29" t="n">
        <v>400</v>
      </c>
      <c r="L53" s="29" t="n">
        <v>405</v>
      </c>
      <c r="M53" s="29" t="n">
        <v>405</v>
      </c>
      <c r="N53" s="29" t="n">
        <v>410</v>
      </c>
      <c r="O53" s="29" t="n">
        <v>410</v>
      </c>
      <c r="P53" s="30">
        <f>SUM(D53:O53)</f>
        <v/>
      </c>
      <c r="Q53" s="1" t="n"/>
      <c r="R53" s="1" t="n"/>
    </row>
    <row r="54" ht="15" customHeight="1">
      <c r="A54" s="1" t="n"/>
      <c r="B54" s="28">
        <f>'0 · Configuración'!C18</f>
        <v/>
      </c>
      <c r="C54" s="1" t="n"/>
      <c r="D54" s="29" t="n">
        <v>65</v>
      </c>
      <c r="E54" s="29" t="n">
        <v>65</v>
      </c>
      <c r="F54" s="29" t="n">
        <v>65</v>
      </c>
      <c r="G54" s="29" t="n">
        <v>65</v>
      </c>
      <c r="H54" s="29" t="n">
        <v>65</v>
      </c>
      <c r="I54" s="29" t="n">
        <v>65</v>
      </c>
      <c r="J54" s="29" t="n">
        <v>65</v>
      </c>
      <c r="K54" s="29" t="n">
        <v>65</v>
      </c>
      <c r="L54" s="29" t="n">
        <v>65</v>
      </c>
      <c r="M54" s="29" t="n">
        <v>65</v>
      </c>
      <c r="N54" s="29" t="n">
        <v>65</v>
      </c>
      <c r="O54" s="29" t="n">
        <v>65</v>
      </c>
      <c r="P54" s="30">
        <f>SUM(D54:O54)</f>
        <v/>
      </c>
      <c r="Q54" s="1" t="n"/>
      <c r="R54" s="1" t="n"/>
    </row>
    <row r="55" ht="15" customHeight="1">
      <c r="A55" s="1" t="n"/>
      <c r="B55" s="28">
        <f>'0 · Configuración'!C19</f>
        <v/>
      </c>
      <c r="C55" s="1" t="n"/>
      <c r="D55" s="29" t="n">
        <v>46</v>
      </c>
      <c r="E55" s="29" t="n">
        <v>46</v>
      </c>
      <c r="F55" s="29" t="n">
        <v>46</v>
      </c>
      <c r="G55" s="29" t="n">
        <v>46</v>
      </c>
      <c r="H55" s="29" t="n">
        <v>46</v>
      </c>
      <c r="I55" s="29" t="n">
        <v>46</v>
      </c>
      <c r="J55" s="29" t="n">
        <v>46</v>
      </c>
      <c r="K55" s="29" t="n">
        <v>46</v>
      </c>
      <c r="L55" s="29" t="n">
        <v>46</v>
      </c>
      <c r="M55" s="29" t="n">
        <v>46</v>
      </c>
      <c r="N55" s="29" t="n">
        <v>46</v>
      </c>
      <c r="O55" s="29" t="n">
        <v>46</v>
      </c>
      <c r="P55" s="30">
        <f>SUM(D55:O55)</f>
        <v/>
      </c>
      <c r="Q55" s="1" t="n"/>
      <c r="R55" s="1" t="n"/>
    </row>
    <row r="56" ht="15" customHeight="1">
      <c r="A56" s="1" t="n"/>
      <c r="B56" s="28">
        <f>'0 · Configuración'!C20</f>
        <v/>
      </c>
      <c r="C56" s="1" t="n"/>
      <c r="D56" s="29" t="n">
        <v>55</v>
      </c>
      <c r="E56" s="29" t="n">
        <v>55</v>
      </c>
      <c r="F56" s="29" t="n">
        <v>58</v>
      </c>
      <c r="G56" s="29" t="n">
        <v>58</v>
      </c>
      <c r="H56" s="29" t="n">
        <v>60</v>
      </c>
      <c r="I56" s="29" t="n">
        <v>60</v>
      </c>
      <c r="J56" s="29" t="n">
        <v>63</v>
      </c>
      <c r="K56" s="29" t="n">
        <v>63</v>
      </c>
      <c r="L56" s="29" t="n">
        <v>65</v>
      </c>
      <c r="M56" s="29" t="n">
        <v>65</v>
      </c>
      <c r="N56" s="29" t="n">
        <v>68</v>
      </c>
      <c r="O56" s="29" t="n">
        <v>68</v>
      </c>
      <c r="P56" s="30">
        <f>SUM(D56:O56)</f>
        <v/>
      </c>
      <c r="Q56" s="1" t="n"/>
      <c r="R56" s="1" t="n"/>
    </row>
    <row r="57" ht="15" customHeight="1">
      <c r="A57" s="1" t="n"/>
      <c r="B57" s="28">
        <f>'0 · Configuración'!C21</f>
        <v/>
      </c>
      <c r="C57" s="1" t="n"/>
      <c r="D57" s="29" t="n">
        <v>25</v>
      </c>
      <c r="E57" s="29" t="n">
        <v>25</v>
      </c>
      <c r="F57" s="29" t="n">
        <v>25</v>
      </c>
      <c r="G57" s="29" t="n">
        <v>25</v>
      </c>
      <c r="H57" s="29" t="n">
        <v>25</v>
      </c>
      <c r="I57" s="29" t="n">
        <v>25</v>
      </c>
      <c r="J57" s="29" t="n">
        <v>25</v>
      </c>
      <c r="K57" s="29" t="n">
        <v>25</v>
      </c>
      <c r="L57" s="29" t="n">
        <v>25</v>
      </c>
      <c r="M57" s="29" t="n">
        <v>25</v>
      </c>
      <c r="N57" s="29" t="n">
        <v>25</v>
      </c>
      <c r="O57" s="29" t="n">
        <v>25</v>
      </c>
      <c r="P57" s="30">
        <f>SUM(D57:O57)</f>
        <v/>
      </c>
      <c r="Q57" s="1" t="n"/>
      <c r="R57" s="1" t="n"/>
    </row>
    <row r="58" ht="15" customHeight="1">
      <c r="A58" s="1" t="n"/>
      <c r="B58" s="28">
        <f>'0 · Configuración'!C22</f>
        <v/>
      </c>
      <c r="C58" s="1" t="n"/>
      <c r="D58" s="29" t="n">
        <v>20</v>
      </c>
      <c r="E58" s="29" t="n">
        <v>20</v>
      </c>
      <c r="F58" s="29" t="n">
        <v>20</v>
      </c>
      <c r="G58" s="29" t="n">
        <v>20</v>
      </c>
      <c r="H58" s="29" t="n">
        <v>20</v>
      </c>
      <c r="I58" s="29" t="n">
        <v>20</v>
      </c>
      <c r="J58" s="29" t="n">
        <v>20</v>
      </c>
      <c r="K58" s="29" t="n">
        <v>20</v>
      </c>
      <c r="L58" s="29" t="n">
        <v>20</v>
      </c>
      <c r="M58" s="29" t="n">
        <v>20</v>
      </c>
      <c r="N58" s="29" t="n">
        <v>20</v>
      </c>
      <c r="O58" s="29" t="n">
        <v>20</v>
      </c>
      <c r="P58" s="30">
        <f>SUM(D58:O58)</f>
        <v/>
      </c>
      <c r="Q58" s="1" t="n"/>
      <c r="R58" s="1" t="n"/>
    </row>
    <row r="59" ht="15" customHeight="1">
      <c r="A59" s="1" t="n"/>
      <c r="B59" s="31" t="inlineStr">
        <is>
          <t>Total gasto presupuestado</t>
        </is>
      </c>
      <c r="C59" s="1" t="n"/>
      <c r="D59" s="32">
        <f>SUM(D53:D58)</f>
        <v/>
      </c>
      <c r="E59" s="32">
        <f>SUM(E53:E58)</f>
        <v/>
      </c>
      <c r="F59" s="32">
        <f>SUM(F53:F58)</f>
        <v/>
      </c>
      <c r="G59" s="32">
        <f>SUM(G53:G58)</f>
        <v/>
      </c>
      <c r="H59" s="32">
        <f>SUM(H53:H58)</f>
        <v/>
      </c>
      <c r="I59" s="32">
        <f>SUM(I53:I58)</f>
        <v/>
      </c>
      <c r="J59" s="32">
        <f>SUM(J53:J58)</f>
        <v/>
      </c>
      <c r="K59" s="32">
        <f>SUM(K53:K58)</f>
        <v/>
      </c>
      <c r="L59" s="32">
        <f>SUM(L53:L58)</f>
        <v/>
      </c>
      <c r="M59" s="32">
        <f>SUM(M53:M58)</f>
        <v/>
      </c>
      <c r="N59" s="32">
        <f>SUM(N53:N58)</f>
        <v/>
      </c>
      <c r="O59" s="32">
        <f>SUM(O53:O58)</f>
        <v/>
      </c>
      <c r="P59" s="32">
        <f>SUM(D59:O59)</f>
        <v/>
      </c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 ht="16" customHeight="1">
      <c r="A62" s="1" t="n"/>
      <c r="B62" s="9" t="inlineStr">
        <is>
          <t>CAJA, DEUDA Y DIVISAS</t>
        </is>
      </c>
      <c r="C62" s="1" t="n"/>
      <c r="D62" s="10" t="inlineStr">
        <is>
          <t>El pronóstico de caja es lo último que una junta olvida preguntar.</t>
        </is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 ht="15" customHeight="1">
      <c r="A63" s="1" t="n"/>
      <c r="B63" s="24" t="inlineStr">
        <is>
          <t>CONCEPTO</t>
        </is>
      </c>
      <c r="C63" s="25" t="n"/>
      <c r="D63" s="26" t="inlineStr">
        <is>
          <t>Ene</t>
        </is>
      </c>
      <c r="E63" s="26" t="inlineStr">
        <is>
          <t>Feb</t>
        </is>
      </c>
      <c r="F63" s="26" t="inlineStr">
        <is>
          <t>Mar</t>
        </is>
      </c>
      <c r="G63" s="26" t="inlineStr">
        <is>
          <t>Abr</t>
        </is>
      </c>
      <c r="H63" s="26" t="inlineStr">
        <is>
          <t>May</t>
        </is>
      </c>
      <c r="I63" s="26" t="inlineStr">
        <is>
          <t>Jun</t>
        </is>
      </c>
      <c r="J63" s="26" t="inlineStr">
        <is>
          <t>Jul</t>
        </is>
      </c>
      <c r="K63" s="26" t="inlineStr">
        <is>
          <t>Ago</t>
        </is>
      </c>
      <c r="L63" s="26" t="inlineStr">
        <is>
          <t>Sep</t>
        </is>
      </c>
      <c r="M63" s="26" t="inlineStr">
        <is>
          <t>Oct</t>
        </is>
      </c>
      <c r="N63" s="26" t="inlineStr">
        <is>
          <t>Nov</t>
        </is>
      </c>
      <c r="O63" s="26" t="inlineStr">
        <is>
          <t>Dic</t>
        </is>
      </c>
      <c r="P63" s="26" t="inlineStr">
        <is>
          <t>AÑO</t>
        </is>
      </c>
      <c r="Q63" s="1" t="n"/>
      <c r="R63" s="1" t="n"/>
    </row>
    <row r="64" ht="15" customHeight="1">
      <c r="A64" s="1" t="n"/>
      <c r="B64" s="28" t="inlineStr">
        <is>
          <t>Recaudo de clientes</t>
        </is>
      </c>
      <c r="C64" s="1" t="n"/>
      <c r="D64" s="29" t="n">
        <v>2362</v>
      </c>
      <c r="E64" s="29" t="n">
        <v>2464</v>
      </c>
      <c r="F64" s="29" t="n">
        <v>2464</v>
      </c>
      <c r="G64" s="29" t="n">
        <v>2595</v>
      </c>
      <c r="H64" s="29" t="n">
        <v>2632</v>
      </c>
      <c r="I64" s="29" t="n">
        <v>2725</v>
      </c>
      <c r="J64" s="29" t="n">
        <v>2706</v>
      </c>
      <c r="K64" s="29" t="n">
        <v>2836</v>
      </c>
      <c r="L64" s="29" t="n">
        <v>2920</v>
      </c>
      <c r="M64" s="29" t="n">
        <v>2957</v>
      </c>
      <c r="N64" s="29" t="n">
        <v>3069</v>
      </c>
      <c r="O64" s="29" t="n">
        <v>3246</v>
      </c>
      <c r="P64" s="30">
        <f>SUM(D64:O64)</f>
        <v/>
      </c>
      <c r="Q64" s="1" t="n"/>
      <c r="R64" s="1" t="n"/>
    </row>
    <row r="65" ht="15" customHeight="1">
      <c r="A65" s="1" t="n"/>
      <c r="B65" s="28" t="inlineStr">
        <is>
          <t>Pagos operativos (proveedores y nómina)</t>
        </is>
      </c>
      <c r="C65" s="1" t="n"/>
      <c r="D65" s="29" t="n">
        <v>1910</v>
      </c>
      <c r="E65" s="29" t="n">
        <v>1996</v>
      </c>
      <c r="F65" s="29" t="n">
        <v>2024</v>
      </c>
      <c r="G65" s="29" t="n">
        <v>2095</v>
      </c>
      <c r="H65" s="29" t="n">
        <v>2124</v>
      </c>
      <c r="I65" s="29" t="n">
        <v>2236</v>
      </c>
      <c r="J65" s="29" t="n">
        <v>2171</v>
      </c>
      <c r="K65" s="29" t="n">
        <v>2274</v>
      </c>
      <c r="L65" s="29" t="n">
        <v>2347</v>
      </c>
      <c r="M65" s="29" t="n">
        <v>2368</v>
      </c>
      <c r="N65" s="29" t="n">
        <v>2436</v>
      </c>
      <c r="O65" s="29" t="n">
        <v>2633</v>
      </c>
      <c r="P65" s="30">
        <f>SUM(D65:O65)</f>
        <v/>
      </c>
      <c r="Q65" s="1" t="n"/>
      <c r="R65" s="1" t="n"/>
    </row>
    <row r="66" ht="15" customHeight="1">
      <c r="A66" s="1" t="n"/>
      <c r="B66" s="28" t="inlineStr">
        <is>
          <t>Capex</t>
        </is>
      </c>
      <c r="C66" s="1" t="n"/>
      <c r="D66" s="29" t="n">
        <v>0</v>
      </c>
      <c r="E66" s="29" t="n">
        <v>0</v>
      </c>
      <c r="F66" s="29" t="n">
        <v>180</v>
      </c>
      <c r="G66" s="29" t="n">
        <v>0</v>
      </c>
      <c r="H66" s="29" t="n">
        <v>0</v>
      </c>
      <c r="I66" s="29" t="n">
        <v>240</v>
      </c>
      <c r="J66" s="29" t="n">
        <v>0</v>
      </c>
      <c r="K66" s="29" t="n">
        <v>0</v>
      </c>
      <c r="L66" s="29" t="n">
        <v>95</v>
      </c>
      <c r="M66" s="29" t="n">
        <v>0</v>
      </c>
      <c r="N66" s="29" t="n">
        <v>0</v>
      </c>
      <c r="O66" s="29" t="n">
        <v>310</v>
      </c>
      <c r="P66" s="30">
        <f>SUM(D66:O66)</f>
        <v/>
      </c>
      <c r="Q66" s="1" t="n"/>
      <c r="R66" s="1" t="n"/>
    </row>
    <row r="67" ht="15" customHeight="1">
      <c r="A67" s="1" t="n"/>
      <c r="B67" s="28" t="inlineStr">
        <is>
          <t>Impuestos</t>
        </is>
      </c>
      <c r="C67" s="1" t="n"/>
      <c r="D67" s="29" t="n">
        <v>0</v>
      </c>
      <c r="E67" s="29" t="n">
        <v>0</v>
      </c>
      <c r="F67" s="29" t="n">
        <v>0</v>
      </c>
      <c r="G67" s="29" t="n">
        <v>420</v>
      </c>
      <c r="H67" s="29" t="n">
        <v>0</v>
      </c>
      <c r="I67" s="29" t="n">
        <v>0</v>
      </c>
      <c r="J67" s="29" t="n">
        <v>380</v>
      </c>
      <c r="K67" s="29" t="n">
        <v>0</v>
      </c>
      <c r="L67" s="29" t="n">
        <v>0</v>
      </c>
      <c r="M67" s="29" t="n">
        <v>445</v>
      </c>
      <c r="N67" s="29" t="n">
        <v>0</v>
      </c>
      <c r="O67" s="29" t="n">
        <v>0</v>
      </c>
      <c r="P67" s="30">
        <f>SUM(D67:O67)</f>
        <v/>
      </c>
      <c r="Q67" s="1" t="n"/>
      <c r="R67" s="1" t="n"/>
    </row>
    <row r="68" ht="15" customHeight="1">
      <c r="A68" s="1" t="n"/>
      <c r="B68" s="28" t="inlineStr">
        <is>
          <t>Servicio de deuda</t>
        </is>
      </c>
      <c r="C68" s="1" t="n"/>
      <c r="D68" s="29" t="n">
        <v>62</v>
      </c>
      <c r="E68" s="29" t="n">
        <v>62</v>
      </c>
      <c r="F68" s="29" t="n">
        <v>62</v>
      </c>
      <c r="G68" s="29" t="n">
        <v>62</v>
      </c>
      <c r="H68" s="29" t="n">
        <v>62</v>
      </c>
      <c r="I68" s="29" t="n">
        <v>62</v>
      </c>
      <c r="J68" s="29" t="n">
        <v>74</v>
      </c>
      <c r="K68" s="29" t="n">
        <v>74</v>
      </c>
      <c r="L68" s="29" t="n">
        <v>74</v>
      </c>
      <c r="M68" s="29" t="n">
        <v>74</v>
      </c>
      <c r="N68" s="29" t="n">
        <v>74</v>
      </c>
      <c r="O68" s="29" t="n">
        <v>74</v>
      </c>
      <c r="P68" s="30">
        <f>SUM(D68:O68)</f>
        <v/>
      </c>
      <c r="Q68" s="1" t="n"/>
      <c r="R68" s="1" t="n"/>
    </row>
    <row r="69" ht="15" customHeight="1">
      <c r="A69" s="1" t="n"/>
      <c r="B69" s="28" t="inlineStr">
        <is>
          <t>Desembolsos de deuda</t>
        </is>
      </c>
      <c r="C69" s="1" t="n"/>
      <c r="D69" s="29" t="n">
        <v>0</v>
      </c>
      <c r="E69" s="29" t="n">
        <v>0</v>
      </c>
      <c r="F69" s="29" t="n">
        <v>0</v>
      </c>
      <c r="G69" s="29" t="n">
        <v>0</v>
      </c>
      <c r="H69" s="29" t="n">
        <v>0</v>
      </c>
      <c r="I69" s="29" t="n">
        <v>800</v>
      </c>
      <c r="J69" s="29" t="n">
        <v>0</v>
      </c>
      <c r="K69" s="29" t="n">
        <v>0</v>
      </c>
      <c r="L69" s="29" t="n">
        <v>0</v>
      </c>
      <c r="M69" s="29" t="n">
        <v>0</v>
      </c>
      <c r="N69" s="29" t="n">
        <v>0</v>
      </c>
      <c r="O69" s="29" t="n">
        <v>0</v>
      </c>
      <c r="P69" s="30">
        <f>SUM(D69:O69)</f>
        <v/>
      </c>
      <c r="Q69" s="1" t="n"/>
      <c r="R69" s="1" t="n"/>
    </row>
    <row r="70" ht="15" customHeight="1">
      <c r="A70" s="1" t="n"/>
      <c r="B70" s="31" t="inlineStr">
        <is>
          <t>Flujo neto del mes</t>
        </is>
      </c>
      <c r="C70" s="1" t="n"/>
      <c r="D70" s="32">
        <f>D64-D65-D66-D67-D68+D69</f>
        <v/>
      </c>
      <c r="E70" s="32">
        <f>E64-E65-E66-E67-E68+E69</f>
        <v/>
      </c>
      <c r="F70" s="32">
        <f>F64-F65-F66-F67-F68+F69</f>
        <v/>
      </c>
      <c r="G70" s="32">
        <f>G64-G65-G66-G67-G68+G69</f>
        <v/>
      </c>
      <c r="H70" s="32">
        <f>H64-H65-H66-H67-H68+H69</f>
        <v/>
      </c>
      <c r="I70" s="32">
        <f>I64-I65-I66-I67-I68+I69</f>
        <v/>
      </c>
      <c r="J70" s="32">
        <f>J64-J65-J66-J67-J68+J69</f>
        <v/>
      </c>
      <c r="K70" s="32">
        <f>K64-K65-K66-K67-K68+K69</f>
        <v/>
      </c>
      <c r="L70" s="32">
        <f>L64-L65-L66-L67-L68+L69</f>
        <v/>
      </c>
      <c r="M70" s="32">
        <f>M64-M65-M66-M67-M68+M69</f>
        <v/>
      </c>
      <c r="N70" s="32">
        <f>N64-N65-N66-N67-N68+N69</f>
        <v/>
      </c>
      <c r="O70" s="32">
        <f>O64-O65-O66-O67-O68+O69</f>
        <v/>
      </c>
      <c r="P70" s="32">
        <f>SUM(D70:O70)</f>
        <v/>
      </c>
      <c r="Q70" s="1" t="n"/>
      <c r="R70" s="1" t="n"/>
    </row>
    <row r="71">
      <c r="A71" s="1" t="n"/>
      <c r="B71" s="31" t="inlineStr">
        <is>
          <t>Saldo de caja al cierre</t>
        </is>
      </c>
      <c r="C71" s="33" t="n">
        <v>1850</v>
      </c>
      <c r="D71" s="32">
        <f>$C$71+D70</f>
        <v/>
      </c>
      <c r="E71" s="32">
        <f>D71+E70</f>
        <v/>
      </c>
      <c r="F71" s="32">
        <f>E71+F70</f>
        <v/>
      </c>
      <c r="G71" s="32">
        <f>F71+G70</f>
        <v/>
      </c>
      <c r="H71" s="32">
        <f>G71+H70</f>
        <v/>
      </c>
      <c r="I71" s="32">
        <f>H71+I70</f>
        <v/>
      </c>
      <c r="J71" s="32">
        <f>I71+J70</f>
        <v/>
      </c>
      <c r="K71" s="32">
        <f>J71+K70</f>
        <v/>
      </c>
      <c r="L71" s="32">
        <f>K71+L70</f>
        <v/>
      </c>
      <c r="M71" s="32">
        <f>L71+M70</f>
        <v/>
      </c>
      <c r="N71" s="32">
        <f>M71+N70</f>
        <v/>
      </c>
      <c r="O71" s="32">
        <f>N71+O70</f>
        <v/>
      </c>
      <c r="P71" s="32">
        <f>O71</f>
        <v/>
      </c>
      <c r="Q71" s="1" t="n"/>
      <c r="R71" s="1" t="n"/>
    </row>
    <row r="72" ht="15" customHeight="1">
      <c r="A72" s="1" t="n"/>
      <c r="B72" s="28" t="inlineStr">
        <is>
          <t>Saldo de deuda financiera</t>
        </is>
      </c>
      <c r="C72" s="1" t="n"/>
      <c r="D72" s="29" t="n">
        <v>3140</v>
      </c>
      <c r="E72" s="29" t="n">
        <v>3080</v>
      </c>
      <c r="F72" s="29" t="n">
        <v>3020</v>
      </c>
      <c r="G72" s="29" t="n">
        <v>2960</v>
      </c>
      <c r="H72" s="29" t="n">
        <v>2900</v>
      </c>
      <c r="I72" s="29" t="n">
        <v>3640</v>
      </c>
      <c r="J72" s="29" t="n">
        <v>3560</v>
      </c>
      <c r="K72" s="29" t="n">
        <v>3480</v>
      </c>
      <c r="L72" s="29" t="n">
        <v>3400</v>
      </c>
      <c r="M72" s="29" t="n">
        <v>3320</v>
      </c>
      <c r="N72" s="29" t="n">
        <v>3240</v>
      </c>
      <c r="O72" s="29" t="n">
        <v>3160</v>
      </c>
      <c r="P72" s="30">
        <f>O72</f>
        <v/>
      </c>
      <c r="Q72" s="1" t="n"/>
      <c r="R72" s="1" t="n"/>
    </row>
    <row r="73" ht="15" customHeight="1">
      <c r="A73" s="1" t="n"/>
      <c r="B73" s="28" t="inlineStr">
        <is>
          <t>TRM de cierre</t>
        </is>
      </c>
      <c r="C73" s="1" t="n"/>
      <c r="D73" s="29" t="n">
        <v>4180</v>
      </c>
      <c r="E73" s="29" t="n">
        <v>4145</v>
      </c>
      <c r="F73" s="29" t="n">
        <v>4090</v>
      </c>
      <c r="G73" s="29" t="n">
        <v>4220</v>
      </c>
      <c r="H73" s="29" t="n">
        <v>4310</v>
      </c>
      <c r="I73" s="29" t="n">
        <v>4265</v>
      </c>
      <c r="J73" s="29" t="n">
        <v>4180</v>
      </c>
      <c r="K73" s="29" t="n">
        <v>4095</v>
      </c>
      <c r="L73" s="29" t="n">
        <v>4030</v>
      </c>
      <c r="M73" s="29" t="n">
        <v>3985</v>
      </c>
      <c r="N73" s="29" t="n">
        <v>4060</v>
      </c>
      <c r="O73" s="29" t="n">
        <v>4140</v>
      </c>
      <c r="P73" s="1" t="n"/>
      <c r="Q73" s="1" t="n"/>
      <c r="R73" s="1" t="n"/>
    </row>
    <row r="74" ht="15" customHeight="1">
      <c r="A74" s="1" t="n"/>
      <c r="B74" s="28" t="inlineStr">
        <is>
          <t>Exposición neta en USD (millones)</t>
        </is>
      </c>
      <c r="C74" s="1" t="n"/>
      <c r="D74" s="34" t="n">
        <v>1.2</v>
      </c>
      <c r="E74" s="34" t="n">
        <v>1.24</v>
      </c>
      <c r="F74" s="34" t="n">
        <v>1.18</v>
      </c>
      <c r="G74" s="34" t="n">
        <v>1.31</v>
      </c>
      <c r="H74" s="34" t="n">
        <v>1.35</v>
      </c>
      <c r="I74" s="34" t="n">
        <v>1.28</v>
      </c>
      <c r="J74" s="34" t="n">
        <v>1.22</v>
      </c>
      <c r="K74" s="34" t="n">
        <v>1.19</v>
      </c>
      <c r="L74" s="34" t="n">
        <v>1.26</v>
      </c>
      <c r="M74" s="34" t="n">
        <v>1.3</v>
      </c>
      <c r="N74" s="34" t="n">
        <v>1.33</v>
      </c>
      <c r="O74" s="34" t="n">
        <v>1.41</v>
      </c>
      <c r="P74" s="1" t="n"/>
      <c r="Q74" s="1" t="n"/>
      <c r="R74" s="1" t="n"/>
    </row>
    <row r="75" ht="15" customHeight="1">
      <c r="A75" s="1" t="n"/>
      <c r="B75" s="28" t="inlineStr">
        <is>
          <t>Cobertura contratada en USD (millones)</t>
        </is>
      </c>
      <c r="C75" s="1" t="n"/>
      <c r="D75" s="34" t="n">
        <v>0.8</v>
      </c>
      <c r="E75" s="34" t="n">
        <v>0.8</v>
      </c>
      <c r="F75" s="34" t="n">
        <v>0.8</v>
      </c>
      <c r="G75" s="34" t="n">
        <v>0.9</v>
      </c>
      <c r="H75" s="34" t="n">
        <v>0.9</v>
      </c>
      <c r="I75" s="34" t="n">
        <v>0.9</v>
      </c>
      <c r="J75" s="34" t="n">
        <v>0.9</v>
      </c>
      <c r="K75" s="34" t="n">
        <v>0.95</v>
      </c>
      <c r="L75" s="34" t="n">
        <v>0.95</v>
      </c>
      <c r="M75" s="34" t="n">
        <v>0.95</v>
      </c>
      <c r="N75" s="34" t="n">
        <v>1.05</v>
      </c>
      <c r="O75" s="34" t="n">
        <v>1.05</v>
      </c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 ht="16" customHeight="1">
      <c r="A78" s="1" t="n"/>
      <c r="B78" s="9" t="inlineStr">
        <is>
          <t>CARTERA Y PROVEEDORES</t>
        </is>
      </c>
      <c r="C78" s="1" t="n"/>
      <c r="D78" s="10" t="inlineStr">
        <is>
          <t>El cierre de la presentación. Dos indicadores, no una relación de facturas.</t>
        </is>
      </c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 ht="15" customHeight="1">
      <c r="A79" s="1" t="n"/>
      <c r="B79" s="24" t="inlineStr">
        <is>
          <t>CONCEPTO</t>
        </is>
      </c>
      <c r="C79" s="25" t="n"/>
      <c r="D79" s="26" t="inlineStr">
        <is>
          <t>Ene</t>
        </is>
      </c>
      <c r="E79" s="26" t="inlineStr">
        <is>
          <t>Feb</t>
        </is>
      </c>
      <c r="F79" s="26" t="inlineStr">
        <is>
          <t>Mar</t>
        </is>
      </c>
      <c r="G79" s="26" t="inlineStr">
        <is>
          <t>Abr</t>
        </is>
      </c>
      <c r="H79" s="26" t="inlineStr">
        <is>
          <t>May</t>
        </is>
      </c>
      <c r="I79" s="26" t="inlineStr">
        <is>
          <t>Jun</t>
        </is>
      </c>
      <c r="J79" s="26" t="inlineStr">
        <is>
          <t>Jul</t>
        </is>
      </c>
      <c r="K79" s="26" t="inlineStr">
        <is>
          <t>Ago</t>
        </is>
      </c>
      <c r="L79" s="26" t="inlineStr">
        <is>
          <t>Sep</t>
        </is>
      </c>
      <c r="M79" s="26" t="inlineStr">
        <is>
          <t>Oct</t>
        </is>
      </c>
      <c r="N79" s="26" t="inlineStr">
        <is>
          <t>Nov</t>
        </is>
      </c>
      <c r="O79" s="26" t="inlineStr">
        <is>
          <t>Dic</t>
        </is>
      </c>
      <c r="P79" s="26" t="inlineStr">
        <is>
          <t>AÑO</t>
        </is>
      </c>
      <c r="Q79" s="1" t="n"/>
      <c r="R79" s="1" t="n"/>
    </row>
    <row r="80" ht="15" customHeight="1">
      <c r="A80" s="1" t="n"/>
      <c r="B80" s="28" t="inlineStr">
        <is>
          <t>Cartera — saldo al cierre</t>
        </is>
      </c>
      <c r="C80" s="1" t="n"/>
      <c r="D80" s="29" t="n">
        <v>3937</v>
      </c>
      <c r="E80" s="29" t="n">
        <v>4108</v>
      </c>
      <c r="F80" s="29" t="n">
        <v>4108</v>
      </c>
      <c r="G80" s="29" t="n">
        <v>4324</v>
      </c>
      <c r="H80" s="29" t="n">
        <v>4386</v>
      </c>
      <c r="I80" s="29" t="n">
        <v>4542</v>
      </c>
      <c r="J80" s="29" t="n">
        <v>4510</v>
      </c>
      <c r="K80" s="29" t="n">
        <v>4728</v>
      </c>
      <c r="L80" s="29" t="n">
        <v>4867</v>
      </c>
      <c r="M80" s="29" t="n">
        <v>4929</v>
      </c>
      <c r="N80" s="29" t="n">
        <v>5115</v>
      </c>
      <c r="O80" s="29" t="n">
        <v>5410</v>
      </c>
      <c r="P80" s="1" t="n"/>
      <c r="Q80" s="1" t="n"/>
      <c r="R80" s="1" t="n"/>
    </row>
    <row r="81" ht="15" customHeight="1">
      <c r="A81" s="1" t="n"/>
      <c r="B81" s="28" t="inlineStr">
        <is>
          <t>Cartera vencida &gt; 60 días</t>
        </is>
      </c>
      <c r="C81" s="1" t="n"/>
      <c r="D81" s="29" t="n">
        <v>433</v>
      </c>
      <c r="E81" s="29" t="n">
        <v>493</v>
      </c>
      <c r="F81" s="29" t="n">
        <v>493</v>
      </c>
      <c r="G81" s="29" t="n">
        <v>605</v>
      </c>
      <c r="H81" s="29" t="n">
        <v>570</v>
      </c>
      <c r="I81" s="29" t="n">
        <v>681</v>
      </c>
      <c r="J81" s="29" t="n">
        <v>722</v>
      </c>
      <c r="K81" s="29" t="n">
        <v>709</v>
      </c>
      <c r="L81" s="29" t="n">
        <v>827</v>
      </c>
      <c r="M81" s="29" t="n">
        <v>789</v>
      </c>
      <c r="N81" s="29" t="n">
        <v>921</v>
      </c>
      <c r="O81" s="29" t="n">
        <v>1028</v>
      </c>
      <c r="P81" s="1" t="n"/>
      <c r="Q81" s="1" t="n"/>
      <c r="R81" s="1" t="n"/>
    </row>
    <row r="82" ht="15" customHeight="1">
      <c r="A82" s="1" t="n"/>
      <c r="B82" s="28" t="inlineStr">
        <is>
          <t>Proveedores — saldo al cierre</t>
        </is>
      </c>
      <c r="C82" s="1" t="n"/>
      <c r="D82" s="29" t="n">
        <v>1916</v>
      </c>
      <c r="E82" s="29" t="n">
        <v>2013</v>
      </c>
      <c r="F82" s="29" t="n">
        <v>2017</v>
      </c>
      <c r="G82" s="29" t="n">
        <v>2140</v>
      </c>
      <c r="H82" s="29" t="n">
        <v>2153</v>
      </c>
      <c r="I82" s="29" t="n">
        <v>2256</v>
      </c>
      <c r="J82" s="29" t="n">
        <v>2219</v>
      </c>
      <c r="K82" s="29" t="n">
        <v>2344</v>
      </c>
      <c r="L82" s="29" t="n">
        <v>2419</v>
      </c>
      <c r="M82" s="29" t="n">
        <v>2441</v>
      </c>
      <c r="N82" s="29" t="n">
        <v>2539</v>
      </c>
      <c r="O82" s="29" t="n">
        <v>2696</v>
      </c>
      <c r="P82" s="1" t="n"/>
      <c r="Q82" s="1" t="n"/>
      <c r="R82" s="1" t="n"/>
    </row>
    <row r="83" ht="15" customHeight="1">
      <c r="A83" s="1" t="n"/>
      <c r="B83" s="28" t="inlineStr">
        <is>
          <t>Compras del mes</t>
        </is>
      </c>
      <c r="C83" s="1" t="n"/>
      <c r="D83" s="29" t="n">
        <v>1419</v>
      </c>
      <c r="E83" s="29" t="n">
        <v>1491</v>
      </c>
      <c r="F83" s="29" t="n">
        <v>1494</v>
      </c>
      <c r="G83" s="29" t="n">
        <v>1585</v>
      </c>
      <c r="H83" s="29" t="n">
        <v>1595</v>
      </c>
      <c r="I83" s="29" t="n">
        <v>1671</v>
      </c>
      <c r="J83" s="29" t="n">
        <v>1644</v>
      </c>
      <c r="K83" s="29" t="n">
        <v>1736</v>
      </c>
      <c r="L83" s="29" t="n">
        <v>1792</v>
      </c>
      <c r="M83" s="29" t="n">
        <v>1808</v>
      </c>
      <c r="N83" s="29" t="n">
        <v>1881</v>
      </c>
      <c r="O83" s="29" t="n">
        <v>1997</v>
      </c>
      <c r="P83" s="30">
        <f>SUM(D83:O83)</f>
        <v/>
      </c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00C8"/>
    <outlinePr summaryBelow="1" summaryRight="1"/>
    <pageSetUpPr/>
  </sheetPr>
  <dimension ref="A1:N7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width="14.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14" t="inlineStr">
        <is>
          <t>RESUMEN PARA LA JUNTA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5" t="inlineStr">
        <is>
          <t>Una hoja. Si la junta solo mira una, que sea esta. Todo se calcula del mes 1 al mes de corte.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16" customHeight="1">
      <c r="A5" s="1" t="n"/>
      <c r="B5" s="9" t="inlineStr">
        <is>
          <t>LOS SEIS NÚMEROS</t>
        </is>
      </c>
      <c r="C5" s="1" t="n"/>
      <c r="D5" s="10" t="inlineStr">
        <is>
          <t>Acumulado del año hasta el mes de corte.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" t="n"/>
    </row>
    <row r="7" ht="14" customHeight="1">
      <c r="A7" s="1" t="n"/>
      <c r="B7" s="35" t="inlineStr">
        <is>
          <t>INGRESOS</t>
        </is>
      </c>
      <c r="D7" s="35" t="inlineStr">
        <is>
          <t>MARGEN BRUTO</t>
        </is>
      </c>
      <c r="F7" s="35" t="inlineStr">
        <is>
          <t>EBITDA</t>
        </is>
      </c>
      <c r="H7" s="35" t="inlineStr">
        <is>
          <t>CAJA AL CIERRE</t>
        </is>
      </c>
      <c r="J7" s="35" t="inlineStr">
        <is>
          <t>APALANCAMIENTO</t>
        </is>
      </c>
      <c r="L7" s="35" t="inlineStr">
        <is>
          <t>DÍAS DE CARTERA</t>
        </is>
      </c>
      <c r="N7" s="1" t="n"/>
    </row>
    <row r="8" ht="26" customHeight="1">
      <c r="A8" s="1" t="n"/>
      <c r="B8" s="36">
        <f>IF(N(INDEX('1 · Datos'!$D$11:$O$11,'0 · Configuración'!$C$9))=0,"—",IFERROR(SUM(OFFSET('1 · Datos'!$D$11,0,0,1,'0 · Configuración'!$C$9)),"—"))</f>
        <v/>
      </c>
      <c r="D8" s="37">
        <f>IF(N(INDEX('1 · Datos'!$D$11:$O$11,'0 · Configuración'!$C$9))=0,"—",IFERROR(IFERROR(1-SUM(OFFSET('1 · Datos'!$D$32,0,0,1,'0 · Configuración'!$C$9))/SUM(OFFSET('1 · Datos'!$D$11,0,0,1,'0 · Configuración'!$C$9)),0),"—"))</f>
        <v/>
      </c>
      <c r="F8" s="38">
        <f>IF(N(INDEX('1 · Datos'!$D$11:$O$11,'0 · Configuración'!$C$9))=0,"—",IFERROR((SUM(OFFSET('1 · Datos'!$D$11,0,0,1,'0 · Configuración'!$C$9))-SUM(OFFSET('1 · Datos'!$D$32,0,0,1,'0 · Configuración'!$C$9))-SUM(OFFSET('1 · Datos'!$D$50,0,0,1,'0 · Configuración'!$C$9))),"—"))</f>
        <v/>
      </c>
      <c r="H8" s="38">
        <f>IF(N(INDEX('1 · Datos'!$D$11:$O$11,'0 · Configuración'!$C$9))=0,"—",IFERROR(INDEX('1 · Datos'!$D$71:$O$71,'0 · Configuración'!$C$9),"—"))</f>
        <v/>
      </c>
      <c r="J8" s="39">
        <f>IF(N(INDEX('1 · Datos'!$D$11:$O$11,'0 · Configuración'!$C$9))=0,"—",IFERROR(IFERROR(INDEX('1 · Datos'!$D$72:$O$72,'0 · Configuración'!$C$9)/((SUM(OFFSET('1 · Datos'!$D$11,0,0,1,'0 · Configuración'!$C$9))-SUM(OFFSET('1 · Datos'!$D$32,0,0,1,'0 · Configuración'!$C$9))-SUM(OFFSET('1 · Datos'!$D$50,0,0,1,'0 · Configuración'!$C$9)))/'0 · Configuración'!$C$9*12),0),"—"))</f>
        <v/>
      </c>
      <c r="L8" s="40">
        <f>IF(N(INDEX('1 · Datos'!$D$11:$O$11,'0 · Configuración'!$C$9))=0,"—",IFERROR(IFERROR(INDEX('1 · Datos'!$D$80:$O$80,'0 · Configuración'!$C$9)/(SUM(OFFSET('1 · Datos'!$D$11,0,0,1,'0 · Configuración'!$C$9))/'0 · Configuración'!$C$9/30),0),"—"))</f>
        <v/>
      </c>
      <c r="N8" s="1" t="n"/>
    </row>
    <row r="9" ht="14" customHeight="1">
      <c r="A9" s="1" t="n"/>
      <c r="B9" s="41">
        <f>IF(N(INDEX('1 · Datos'!$D$11:$O$11,'0 · Configuración'!$C$9))=0,"—",IFERROR(IFERROR(SUM(OFFSET('1 · Datos'!$D$11,0,0,1,'0 · Configuración'!$C$9))/SUM(OFFSET('1 · Datos'!$D$17,0,0,1,'0 · Configuración'!$C$9))-1,0),"—"))</f>
        <v/>
      </c>
      <c r="D9" s="42">
        <f>IF(N(INDEX('1 · Datos'!$D$11:$O$11,'0 · Configuración'!$C$9))=0,"—",IFERROR(IFERROR((1-SUM(OFFSET('1 · Datos'!$D$32,0,0,1,'0 · Configuración'!$C$9))/SUM(OFFSET('1 · Datos'!$D$11,0,0,1,'0 · Configuración'!$C$9))-'0 · Configuración'!$C$27)*100,0),"—"))</f>
        <v/>
      </c>
      <c r="F9" s="41">
        <f>IF(N(INDEX('1 · Datos'!$D$11:$O$11,'0 · Configuración'!$C$9))=0,"—",IFERROR(IFERROR((SUM(OFFSET('1 · Datos'!$D$11,0,0,1,'0 · Configuración'!$C$9))-SUM(OFFSET('1 · Datos'!$D$32,0,0,1,'0 · Configuración'!$C$9))-SUM(OFFSET('1 · Datos'!$D$50,0,0,1,'0 · Configuración'!$C$9)))/SUM(OFFSET('1 · Datos'!$D$11,0,0,1,'0 · Configuración'!$C$9)),0),"—"))</f>
        <v/>
      </c>
      <c r="H9" s="41">
        <f>IF(N(INDEX('1 · Datos'!$D$11:$O$11,'0 · Configuración'!$C$9))=0,"—",IFERROR(IFERROR(INDEX('1 · Datos'!$D$71:$O$71,'0 · Configuración'!$C$9)/'0 · Configuración'!$C$28-1,0),"—"))</f>
        <v/>
      </c>
      <c r="J9" s="43">
        <f>IF(N(INDEX('1 · Datos'!$D$11:$O$11,'0 · Configuración'!$C$9))=0,"—",IFERROR(IFERROR('0 · Configuración'!$C$29-INDEX('1 · Datos'!$D$72:$O$72,'0 · Configuración'!$C$9)/((SUM(OFFSET('1 · Datos'!$D$11,0,0,1,'0 · Configuración'!$C$9))-SUM(OFFSET('1 · Datos'!$D$32,0,0,1,'0 · Configuración'!$C$9))-SUM(OFFSET('1 · Datos'!$D$50,0,0,1,'0 · Configuración'!$C$9)))/'0 · Configuración'!$C$9*12),0),"—"))</f>
        <v/>
      </c>
      <c r="L9" s="44">
        <f>IF(N(INDEX('1 · Datos'!$D$11:$O$11,'0 · Configuración'!$C$9))=0,"—",IFERROR(IFERROR('0 · Configuración'!$C$30-INDEX('1 · Datos'!$D$80:$O$80,'0 · Configuración'!$C$9)/(SUM(OFFSET('1 · Datos'!$D$11,0,0,1,'0 · Configuración'!$C$9))/'0 · Configuración'!$C$9/30),0),"—"))</f>
        <v/>
      </c>
      <c r="N9" s="1" t="n"/>
    </row>
    <row r="10" ht="14" customHeight="1">
      <c r="A10" s="1" t="n"/>
      <c r="B10" s="45" t="inlineStr">
        <is>
          <t>vs. presupuesto</t>
        </is>
      </c>
      <c r="D10" s="45" t="inlineStr">
        <is>
          <t>vs. mínimo aceptable</t>
        </is>
      </c>
      <c r="F10" s="45" t="inlineStr">
        <is>
          <t>margen EBITDA</t>
        </is>
      </c>
      <c r="H10" s="45" t="inlineStr">
        <is>
          <t>vs. caja mínima</t>
        </is>
      </c>
      <c r="J10" s="45" t="inlineStr">
        <is>
          <t>holgura vs. máximo</t>
        </is>
      </c>
      <c r="L10" s="45" t="inlineStr">
        <is>
          <t>holgura vs. objetivo</t>
        </is>
      </c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16" customHeight="1">
      <c r="A13" s="1" t="n"/>
      <c r="B13" s="9" t="inlineStr">
        <is>
          <t>LOS SIETE BLOQUES</t>
        </is>
      </c>
      <c r="C13" s="1" t="n"/>
      <c r="D13" s="10" t="inlineStr">
        <is>
          <t>El orden en que se presentan. Ninguno se salta.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" t="n"/>
    </row>
    <row r="15">
      <c r="A15" s="1" t="n"/>
      <c r="B15" s="46" t="inlineStr">
        <is>
          <t>BLOQUE</t>
        </is>
      </c>
      <c r="C15" s="47" t="n"/>
      <c r="D15" s="46" t="inlineStr">
        <is>
          <t>CIFRA CLAVE</t>
        </is>
      </c>
      <c r="E15" s="47" t="n"/>
      <c r="F15" s="26" t="inlineStr">
        <is>
          <t>REAL</t>
        </is>
      </c>
      <c r="G15" s="26" t="inlineStr">
        <is>
          <t>REFERENCIA</t>
        </is>
      </c>
      <c r="H15" s="26" t="inlineStr">
        <is>
          <t>DESVIACIÓN</t>
        </is>
      </c>
      <c r="I15" s="48" t="inlineStr">
        <is>
          <t>LECTURA</t>
        </is>
      </c>
      <c r="J15" s="47" t="n"/>
      <c r="K15" s="47" t="n"/>
      <c r="L15" s="47" t="n"/>
      <c r="M15" s="47" t="n"/>
      <c r="N15" s="1" t="n"/>
    </row>
    <row r="16" ht="16" customHeight="1">
      <c r="A16" s="1" t="n"/>
      <c r="B16" s="49" t="inlineStr">
        <is>
          <t>1 · Ingresos y pipeline</t>
        </is>
      </c>
      <c r="D16" s="50" t="inlineStr">
        <is>
          <t>Ingreso acumulado</t>
        </is>
      </c>
      <c r="F16" s="51">
        <f>IF(N(INDEX('1 · Datos'!$D$11:$O$11,'0 · Configuración'!$C$9))=0,"—",IFERROR(SUM(OFFSET('1 · Datos'!$D$11,0,0,1,'0 · Configuración'!$C$9)),"—"))</f>
        <v/>
      </c>
      <c r="G16" s="52">
        <f>SUM(OFFSET('1 · Datos'!$D$17,0,0,1,'0 · Configuración'!$C$9))</f>
        <v/>
      </c>
      <c r="H16" s="53">
        <f>IF(NOT(ISNUMBER(F16)),"—",IFERROR(F16/G16-1,"—"))</f>
        <v/>
      </c>
      <c r="I16" s="54">
        <f>IF(NOT(ISNUMBER(H16)),"Sin datos en el período — no concluir",IF(H16&gt;=0,"En línea — sin acción pendiente","Requiere acción — ver hoja 8"))</f>
        <v/>
      </c>
      <c r="N16" s="1" t="n"/>
    </row>
    <row r="17" ht="16" customHeight="1">
      <c r="A17" s="1" t="n"/>
      <c r="B17" s="49" t="inlineStr">
        <is>
          <t>2 · Márgenes brutos</t>
        </is>
      </c>
      <c r="D17" s="50" t="inlineStr">
        <is>
          <t>Margen bruto consolidado</t>
        </is>
      </c>
      <c r="F17" s="53">
        <f>IF(N(INDEX('1 · Datos'!$D$11:$O$11,'0 · Configuración'!$C$9))=0,"—",IFERROR(IFERROR(1-SUM(OFFSET('1 · Datos'!$D$32,0,0,1,'0 · Configuración'!$C$9))/SUM(OFFSET('1 · Datos'!$D$11,0,0,1,'0 · Configuración'!$C$9)),0),"—"))</f>
        <v/>
      </c>
      <c r="G17" s="55">
        <f>'0 · Configuración'!$C$27</f>
        <v/>
      </c>
      <c r="H17" s="56">
        <f>IF(NOT(ISNUMBER(F17)),"—",IFERROR((F17-G17)*100,"—"))</f>
        <v/>
      </c>
      <c r="I17" s="54">
        <f>IF(NOT(ISNUMBER(H17)),"Sin datos en el período — no concluir",IF(H17&gt;=0,"En línea — sin acción pendiente","Requiere acción — ver hoja 8"))</f>
        <v/>
      </c>
      <c r="N17" s="1" t="n"/>
    </row>
    <row r="18" ht="16" customHeight="1">
      <c r="A18" s="1" t="n"/>
      <c r="B18" s="49" t="inlineStr">
        <is>
          <t>3 · Gasto administrativo</t>
        </is>
      </c>
      <c r="D18" s="50" t="inlineStr">
        <is>
          <t>Gasto acumulado</t>
        </is>
      </c>
      <c r="F18" s="51">
        <f>IF(N(INDEX('1 · Datos'!$D$11:$O$11,'0 · Configuración'!$C$9))=0,"—",IFERROR(SUM(OFFSET('1 · Datos'!$D$50,0,0,1,'0 · Configuración'!$C$9)),"—"))</f>
        <v/>
      </c>
      <c r="G18" s="52">
        <f>SUM(OFFSET('1 · Datos'!$D$59,0,0,1,'0 · Configuración'!$C$9))</f>
        <v/>
      </c>
      <c r="H18" s="53">
        <f>IF(NOT(ISNUMBER(F18)),"—",IFERROR(F18/G18-1,"—"))</f>
        <v/>
      </c>
      <c r="I18" s="54">
        <f>IF(NOT(ISNUMBER(H18)),"Sin datos en el período — no concluir",IF(H18&lt;=0,"En línea — sin acción pendiente","Requiere acción — ver hoja 8"))</f>
        <v/>
      </c>
      <c r="N18" s="1" t="n"/>
    </row>
    <row r="19" ht="16" customHeight="1">
      <c r="A19" s="1" t="n"/>
      <c r="B19" s="49" t="inlineStr">
        <is>
          <t>4 · Coberturas de divisa</t>
        </is>
      </c>
      <c r="D19" s="50" t="inlineStr">
        <is>
          <t>Exposición USD cubierta</t>
        </is>
      </c>
      <c r="F19" s="53">
        <f>IF(N(INDEX('1 · Datos'!$D$11:$O$11,'0 · Configuración'!$C$9))=0,"—",IFERROR(IFERROR(INDEX('1 · Datos'!$D$75:$O$75,'0 · Configuración'!$C$9)/INDEX('1 · Datos'!$D$74:$O$74,'0 · Configuración'!$C$9),0),"—"))</f>
        <v/>
      </c>
      <c r="G19" s="55">
        <f>1</f>
        <v/>
      </c>
      <c r="H19" s="56">
        <f>IF(NOT(ISNUMBER(F19)),"—",IFERROR((F19-G19)*100,"—"))</f>
        <v/>
      </c>
      <c r="I19" s="54">
        <f>IF(NOT(ISNUMBER(H19)),"Sin datos en el período — no concluir",IF(H19&gt;=0,"En línea — sin acción pendiente","Requiere acción — ver hoja 8"))</f>
        <v/>
      </c>
      <c r="N19" s="1" t="n"/>
    </row>
    <row r="20" ht="16" customHeight="1">
      <c r="A20" s="1" t="n"/>
      <c r="B20" s="49" t="inlineStr">
        <is>
          <t>5 · Caja y deuda</t>
        </is>
      </c>
      <c r="D20" s="50" t="inlineStr">
        <is>
          <t>Saldo de caja al cierre</t>
        </is>
      </c>
      <c r="F20" s="51">
        <f>IF(N(INDEX('1 · Datos'!$D$11:$O$11,'0 · Configuración'!$C$9))=0,"—",IFERROR(INDEX('1 · Datos'!$D$71:$O$71,'0 · Configuración'!$C$9),"—"))</f>
        <v/>
      </c>
      <c r="G20" s="52">
        <f>'0 · Configuración'!$C$28</f>
        <v/>
      </c>
      <c r="H20" s="53">
        <f>IF(NOT(ISNUMBER(F20)),"—",IFERROR(F20/G20-1,"—"))</f>
        <v/>
      </c>
      <c r="I20" s="54">
        <f>IF(NOT(ISNUMBER(H20)),"Sin datos en el período — no concluir",IF(H20&gt;=0,"En línea — sin acción pendiente","Requiere acción — ver hoja 8"))</f>
        <v/>
      </c>
      <c r="N20" s="1" t="n"/>
    </row>
    <row r="21" ht="16" customHeight="1">
      <c r="A21" s="1" t="n"/>
      <c r="B21" s="49" t="inlineStr">
        <is>
          <t>6 · Cartera</t>
        </is>
      </c>
      <c r="D21" s="50" t="inlineStr">
        <is>
          <t>Días de cartera</t>
        </is>
      </c>
      <c r="F21" s="57">
        <f>IF(N(INDEX('1 · Datos'!$D$11:$O$11,'0 · Configuración'!$C$9))=0,"—",IFERROR(IFERROR(INDEX('1 · Datos'!$D$80:$O$80,'0 · Configuración'!$C$9)/(SUM(OFFSET('1 · Datos'!$D$11,0,0,1,'0 · Configuración'!$C$9))/'0 · Configuración'!$C$9/30),0),"—"))</f>
        <v/>
      </c>
      <c r="G21" s="58">
        <f>'0 · Configuración'!$C$30</f>
        <v/>
      </c>
      <c r="H21" s="59">
        <f>IF(NOT(ISNUMBER(F21)),"—",IFERROR(F21-G21,"—"))</f>
        <v/>
      </c>
      <c r="I21" s="54">
        <f>IF(NOT(ISNUMBER(H21)),"Sin datos en el período — no concluir",IF(H21&lt;=0,"En línea — sin acción pendiente","Requiere acción — ver hoja 8"))</f>
        <v/>
      </c>
      <c r="N21" s="1" t="n"/>
    </row>
    <row r="22" ht="16" customHeight="1">
      <c r="A22" s="1" t="n"/>
      <c r="B22" s="49" t="inlineStr">
        <is>
          <t>7 · Proveedores</t>
        </is>
      </c>
      <c r="D22" s="50" t="inlineStr">
        <is>
          <t>Días de proveedores</t>
        </is>
      </c>
      <c r="F22" s="57">
        <f>IF(N(INDEX('1 · Datos'!$D$11:$O$11,'0 · Configuración'!$C$9))=0,"—",IFERROR(IFERROR(INDEX('1 · Datos'!$D$82:$O$82,'0 · Configuración'!$C$9)/(SUM(OFFSET('1 · Datos'!$D$83,0,0,1,'0 · Configuración'!$C$9))/'0 · Configuración'!$C$9/30),0),"—"))</f>
        <v/>
      </c>
      <c r="G22" s="58">
        <f>'0 · Configuración'!$C$30</f>
        <v/>
      </c>
      <c r="H22" s="59">
        <f>IF(NOT(ISNUMBER(F22)),"—",IFERROR(F22-G22,"—"))</f>
        <v/>
      </c>
      <c r="I22" s="54">
        <f>IF(NOT(ISNUMBER(H22)),"Sin datos en el período — no concluir",IF(H22&gt;=0,"En línea — sin acción pendiente","Requiere acción — ver hoja 8"))</f>
        <v/>
      </c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 ht="17" customHeight="1">
      <c r="A25" s="1" t="n"/>
      <c r="B25" s="8" t="inlineStr">
        <is>
          <t>Uno como directivo no puede garantizar que nada malo pase, pero sí que se están tomando acciones al respecto. Por eso la hoja 8 no es opcional: una mala cifra sin dueño es lo único que una junta no perdona.</t>
        </is>
      </c>
      <c r="N25" s="1" t="n"/>
    </row>
    <row r="26" ht="17" customHeight="1">
      <c r="A26" s="1" t="n"/>
      <c r="N26" s="1" t="n"/>
    </row>
    <row r="27" ht="17" customHeight="1">
      <c r="A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</sheetData>
  <mergeCells count="49">
    <mergeCell ref="D20:E20"/>
    <mergeCell ref="B16:C16"/>
    <mergeCell ref="D10:E10"/>
    <mergeCell ref="B7:C7"/>
    <mergeCell ref="L7:M7"/>
    <mergeCell ref="F10:G10"/>
    <mergeCell ref="I15:M15"/>
    <mergeCell ref="H10:I10"/>
    <mergeCell ref="D19:E19"/>
    <mergeCell ref="J10:K10"/>
    <mergeCell ref="B22:C22"/>
    <mergeCell ref="D22:E22"/>
    <mergeCell ref="B18:C18"/>
    <mergeCell ref="H9:I9"/>
    <mergeCell ref="F7:G7"/>
    <mergeCell ref="J9:K9"/>
    <mergeCell ref="D21:E21"/>
    <mergeCell ref="B21:C21"/>
    <mergeCell ref="I16:M16"/>
    <mergeCell ref="I22:M22"/>
    <mergeCell ref="B17:C17"/>
    <mergeCell ref="L8:M8"/>
    <mergeCell ref="B8:C8"/>
    <mergeCell ref="D17:E17"/>
    <mergeCell ref="F8:G8"/>
    <mergeCell ref="I18:M18"/>
    <mergeCell ref="D16:E16"/>
    <mergeCell ref="I21:M21"/>
    <mergeCell ref="D7:E7"/>
    <mergeCell ref="H7:I7"/>
    <mergeCell ref="B19:C19"/>
    <mergeCell ref="L10:M10"/>
    <mergeCell ref="B10:C10"/>
    <mergeCell ref="J7:K7"/>
    <mergeCell ref="D18:E18"/>
    <mergeCell ref="B9:C9"/>
    <mergeCell ref="D9:E9"/>
    <mergeCell ref="F9:G9"/>
    <mergeCell ref="L9:M9"/>
    <mergeCell ref="I17:M17"/>
    <mergeCell ref="D8:E8"/>
    <mergeCell ref="B15:C15"/>
    <mergeCell ref="D15:E15"/>
    <mergeCell ref="I20:M20"/>
    <mergeCell ref="B25:M27"/>
    <mergeCell ref="B20:C20"/>
    <mergeCell ref="I19:M19"/>
    <mergeCell ref="H8:I8"/>
    <mergeCell ref="J8:K8"/>
  </mergeCells>
  <conditionalFormatting sqref="H16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H17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H18">
    <cfRule type="cellIs" priority="5" operator="lessThanOrEqual" dxfId="0">
      <formula>0</formula>
    </cfRule>
    <cfRule type="cellIs" priority="6" operator="greaterThan" dxfId="1">
      <formula>0</formula>
    </cfRule>
  </conditionalFormatting>
  <conditionalFormatting sqref="H19">
    <cfRule type="cellIs" priority="7" operator="greaterThanOrEqual" dxfId="0">
      <formula>0</formula>
    </cfRule>
    <cfRule type="cellIs" priority="8" operator="lessThan" dxfId="1">
      <formula>0</formula>
    </cfRule>
  </conditionalFormatting>
  <conditionalFormatting sqref="H20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H21">
    <cfRule type="cellIs" priority="11" operator="lessThanOrEqual" dxfId="0">
      <formula>0</formula>
    </cfRule>
    <cfRule type="cellIs" priority="12" operator="greaterThan" dxfId="1">
      <formula>0</formula>
    </cfRule>
  </conditionalFormatting>
  <conditionalFormatting sqref="H22">
    <cfRule type="cellIs" priority="13" operator="greaterThanOrEqual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822A"/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6" customHeight="1">
      <c r="A2" s="1" t="n"/>
      <c r="B2" s="14" t="inlineStr">
        <is>
          <t>INGRESOS Y PIPELINE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5" t="inlineStr">
        <is>
          <t>El primer bloque de la presentación. La junta pregunta por el pipeline antes que por el ingreso.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5" customHeight="1">
      <c r="A5" s="1" t="n"/>
      <c r="B5" s="24" t="inlineStr">
        <is>
          <t>CONCEPTO</t>
        </is>
      </c>
      <c r="C5" s="25" t="n"/>
      <c r="D5" s="26" t="inlineStr">
        <is>
          <t>Ene</t>
        </is>
      </c>
      <c r="E5" s="26" t="inlineStr">
        <is>
          <t>Feb</t>
        </is>
      </c>
      <c r="F5" s="26" t="inlineStr">
        <is>
          <t>Mar</t>
        </is>
      </c>
      <c r="G5" s="26" t="inlineStr">
        <is>
          <t>Abr</t>
        </is>
      </c>
      <c r="H5" s="26" t="inlineStr">
        <is>
          <t>May</t>
        </is>
      </c>
      <c r="I5" s="26" t="inlineStr">
        <is>
          <t>Jun</t>
        </is>
      </c>
      <c r="J5" s="26" t="inlineStr">
        <is>
          <t>Jul</t>
        </is>
      </c>
      <c r="K5" s="26" t="inlineStr">
        <is>
          <t>Ago</t>
        </is>
      </c>
      <c r="L5" s="26" t="inlineStr">
        <is>
          <t>Sep</t>
        </is>
      </c>
      <c r="M5" s="26" t="inlineStr">
        <is>
          <t>Oct</t>
        </is>
      </c>
      <c r="N5" s="26" t="inlineStr">
        <is>
          <t>Nov</t>
        </is>
      </c>
      <c r="O5" s="26" t="inlineStr">
        <is>
          <t>Dic</t>
        </is>
      </c>
      <c r="P5" s="26" t="inlineStr">
        <is>
          <t>AÑO</t>
        </is>
      </c>
      <c r="Q5" s="1" t="n"/>
      <c r="R5" s="1" t="n"/>
    </row>
    <row r="6">
      <c r="A6" s="1" t="n"/>
      <c r="B6" s="27" t="inlineStr">
        <is>
          <t>INGRESO REAL POR LÍNEA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5" customHeight="1">
      <c r="A7" s="1" t="n"/>
      <c r="B7" s="28">
        <f>'0 · Configuración'!C12</f>
        <v/>
      </c>
      <c r="C7" s="1" t="n"/>
      <c r="D7" s="29">
        <f>'1 · Datos'!D8</f>
        <v/>
      </c>
      <c r="E7" s="29">
        <f>'1 · Datos'!E8</f>
        <v/>
      </c>
      <c r="F7" s="29">
        <f>'1 · Datos'!F8</f>
        <v/>
      </c>
      <c r="G7" s="29">
        <f>'1 · Datos'!G8</f>
        <v/>
      </c>
      <c r="H7" s="29">
        <f>'1 · Datos'!H8</f>
        <v/>
      </c>
      <c r="I7" s="29">
        <f>'1 · Datos'!I8</f>
        <v/>
      </c>
      <c r="J7" s="29">
        <f>'1 · Datos'!J8</f>
        <v/>
      </c>
      <c r="K7" s="29">
        <f>'1 · Datos'!K8</f>
        <v/>
      </c>
      <c r="L7" s="29">
        <f>'1 · Datos'!L8</f>
        <v/>
      </c>
      <c r="M7" s="29">
        <f>'1 · Datos'!M8</f>
        <v/>
      </c>
      <c r="N7" s="29">
        <f>'1 · Datos'!N8</f>
        <v/>
      </c>
      <c r="O7" s="29">
        <f>'1 · Datos'!O8</f>
        <v/>
      </c>
      <c r="P7" s="30">
        <f>IF(N(INDEX('1 · Datos'!$D$11:$O$11,'0 · Configuración'!$C$9))=0,"—",IFERROR(SUM(OFFSET(D7,0,0,1,'0 · Configuración'!$C$9)),"—"))</f>
        <v/>
      </c>
      <c r="Q7" s="1" t="n"/>
      <c r="R7" s="1" t="n"/>
    </row>
    <row r="8" ht="15" customHeight="1">
      <c r="A8" s="1" t="n"/>
      <c r="B8" s="28">
        <f>'0 · Configuración'!C13</f>
        <v/>
      </c>
      <c r="C8" s="1" t="n"/>
      <c r="D8" s="29">
        <f>'1 · Datos'!D9</f>
        <v/>
      </c>
      <c r="E8" s="29">
        <f>'1 · Datos'!E9</f>
        <v/>
      </c>
      <c r="F8" s="29">
        <f>'1 · Datos'!F9</f>
        <v/>
      </c>
      <c r="G8" s="29">
        <f>'1 · Datos'!G9</f>
        <v/>
      </c>
      <c r="H8" s="29">
        <f>'1 · Datos'!H9</f>
        <v/>
      </c>
      <c r="I8" s="29">
        <f>'1 · Datos'!I9</f>
        <v/>
      </c>
      <c r="J8" s="29">
        <f>'1 · Datos'!J9</f>
        <v/>
      </c>
      <c r="K8" s="29">
        <f>'1 · Datos'!K9</f>
        <v/>
      </c>
      <c r="L8" s="29">
        <f>'1 · Datos'!L9</f>
        <v/>
      </c>
      <c r="M8" s="29">
        <f>'1 · Datos'!M9</f>
        <v/>
      </c>
      <c r="N8" s="29">
        <f>'1 · Datos'!N9</f>
        <v/>
      </c>
      <c r="O8" s="29">
        <f>'1 · Datos'!O9</f>
        <v/>
      </c>
      <c r="P8" s="30">
        <f>IF(N(INDEX('1 · Datos'!$D$11:$O$11,'0 · Configuración'!$C$9))=0,"—",IFERROR(SUM(OFFSET(D8,0,0,1,'0 · Configuración'!$C$9)),"—"))</f>
        <v/>
      </c>
      <c r="Q8" s="1" t="n"/>
      <c r="R8" s="1" t="n"/>
    </row>
    <row r="9" ht="15" customHeight="1">
      <c r="A9" s="1" t="n"/>
      <c r="B9" s="28">
        <f>'0 · Configuración'!C14</f>
        <v/>
      </c>
      <c r="C9" s="1" t="n"/>
      <c r="D9" s="29">
        <f>'1 · Datos'!D10</f>
        <v/>
      </c>
      <c r="E9" s="29">
        <f>'1 · Datos'!E10</f>
        <v/>
      </c>
      <c r="F9" s="29">
        <f>'1 · Datos'!F10</f>
        <v/>
      </c>
      <c r="G9" s="29">
        <f>'1 · Datos'!G10</f>
        <v/>
      </c>
      <c r="H9" s="29">
        <f>'1 · Datos'!H10</f>
        <v/>
      </c>
      <c r="I9" s="29">
        <f>'1 · Datos'!I10</f>
        <v/>
      </c>
      <c r="J9" s="29">
        <f>'1 · Datos'!J10</f>
        <v/>
      </c>
      <c r="K9" s="29">
        <f>'1 · Datos'!K10</f>
        <v/>
      </c>
      <c r="L9" s="29">
        <f>'1 · Datos'!L10</f>
        <v/>
      </c>
      <c r="M9" s="29">
        <f>'1 · Datos'!M10</f>
        <v/>
      </c>
      <c r="N9" s="29">
        <f>'1 · Datos'!N10</f>
        <v/>
      </c>
      <c r="O9" s="29">
        <f>'1 · Datos'!O10</f>
        <v/>
      </c>
      <c r="P9" s="30">
        <f>IF(N(INDEX('1 · Datos'!$D$11:$O$11,'0 · Configuración'!$C$9))=0,"—",IFERROR(SUM(OFFSET(D9,0,0,1,'0 · Configuración'!$C$9)),"—"))</f>
        <v/>
      </c>
      <c r="Q9" s="1" t="n"/>
      <c r="R9" s="1" t="n"/>
    </row>
    <row r="10" ht="15" customHeight="1">
      <c r="A10" s="1" t="n"/>
      <c r="B10" s="31" t="inlineStr">
        <is>
          <t>Total ingresos reales</t>
        </is>
      </c>
      <c r="C10" s="1" t="n"/>
      <c r="D10" s="32">
        <f>'1 · Datos'!D11</f>
        <v/>
      </c>
      <c r="E10" s="32">
        <f>'1 · Datos'!E11</f>
        <v/>
      </c>
      <c r="F10" s="32">
        <f>'1 · Datos'!F11</f>
        <v/>
      </c>
      <c r="G10" s="32">
        <f>'1 · Datos'!G11</f>
        <v/>
      </c>
      <c r="H10" s="32">
        <f>'1 · Datos'!H11</f>
        <v/>
      </c>
      <c r="I10" s="32">
        <f>'1 · Datos'!I11</f>
        <v/>
      </c>
      <c r="J10" s="32">
        <f>'1 · Datos'!J11</f>
        <v/>
      </c>
      <c r="K10" s="32">
        <f>'1 · Datos'!K11</f>
        <v/>
      </c>
      <c r="L10" s="32">
        <f>'1 · Datos'!L11</f>
        <v/>
      </c>
      <c r="M10" s="32">
        <f>'1 · Datos'!M11</f>
        <v/>
      </c>
      <c r="N10" s="32">
        <f>'1 · Datos'!N11</f>
        <v/>
      </c>
      <c r="O10" s="32">
        <f>'1 · Datos'!O11</f>
        <v/>
      </c>
      <c r="P10" s="32">
        <f>IF(N(INDEX('1 · Datos'!$D$11:$O$11,'0 · Configuración'!$C$9))=0,"—",IFERROR(SUM(OFFSET(D10,0,0,1,'0 · Configuración'!$C$9)),"—"))</f>
        <v/>
      </c>
      <c r="Q10" s="1" t="n"/>
      <c r="R10" s="1" t="n"/>
    </row>
    <row r="11">
      <c r="A11" s="1" t="n"/>
      <c r="B11" s="27" t="inlineStr">
        <is>
          <t>CONTRA PRESUPUESTO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 ht="15" customHeight="1">
      <c r="A12" s="1" t="n"/>
      <c r="B12" s="28" t="inlineStr">
        <is>
          <t>Presupuesto</t>
        </is>
      </c>
      <c r="C12" s="1" t="n"/>
      <c r="D12" s="29">
        <f>'1 · Datos'!D17</f>
        <v/>
      </c>
      <c r="E12" s="29">
        <f>'1 · Datos'!E17</f>
        <v/>
      </c>
      <c r="F12" s="29">
        <f>'1 · Datos'!F17</f>
        <v/>
      </c>
      <c r="G12" s="29">
        <f>'1 · Datos'!G17</f>
        <v/>
      </c>
      <c r="H12" s="29">
        <f>'1 · Datos'!H17</f>
        <v/>
      </c>
      <c r="I12" s="29">
        <f>'1 · Datos'!I17</f>
        <v/>
      </c>
      <c r="J12" s="29">
        <f>'1 · Datos'!J17</f>
        <v/>
      </c>
      <c r="K12" s="29">
        <f>'1 · Datos'!K17</f>
        <v/>
      </c>
      <c r="L12" s="29">
        <f>'1 · Datos'!L17</f>
        <v/>
      </c>
      <c r="M12" s="29">
        <f>'1 · Datos'!M17</f>
        <v/>
      </c>
      <c r="N12" s="29">
        <f>'1 · Datos'!N17</f>
        <v/>
      </c>
      <c r="O12" s="29">
        <f>'1 · Datos'!O17</f>
        <v/>
      </c>
      <c r="P12" s="30">
        <f>IF(N(INDEX('1 · Datos'!$D$11:$O$11,'0 · Configuración'!$C$9))=0,"—",IFERROR(SUM(OFFSET(D12,0,0,1,'0 · Configuración'!$C$9)),"—"))</f>
        <v/>
      </c>
      <c r="Q12" s="1" t="n"/>
      <c r="R12" s="1" t="n"/>
    </row>
    <row r="13" ht="15" customHeight="1">
      <c r="A13" s="1" t="n"/>
      <c r="B13" s="28" t="inlineStr">
        <is>
          <t>Desviación</t>
        </is>
      </c>
      <c r="C13" s="1" t="n"/>
      <c r="D13" s="29">
        <f>'1 · Datos'!D11-'1 · Datos'!D17</f>
        <v/>
      </c>
      <c r="E13" s="29">
        <f>'1 · Datos'!E11-'1 · Datos'!E17</f>
        <v/>
      </c>
      <c r="F13" s="29">
        <f>'1 · Datos'!F11-'1 · Datos'!F17</f>
        <v/>
      </c>
      <c r="G13" s="29">
        <f>'1 · Datos'!G11-'1 · Datos'!G17</f>
        <v/>
      </c>
      <c r="H13" s="29">
        <f>'1 · Datos'!H11-'1 · Datos'!H17</f>
        <v/>
      </c>
      <c r="I13" s="29">
        <f>'1 · Datos'!I11-'1 · Datos'!I17</f>
        <v/>
      </c>
      <c r="J13" s="29">
        <f>'1 · Datos'!J11-'1 · Datos'!J17</f>
        <v/>
      </c>
      <c r="K13" s="29">
        <f>'1 · Datos'!K11-'1 · Datos'!K17</f>
        <v/>
      </c>
      <c r="L13" s="29">
        <f>'1 · Datos'!L11-'1 · Datos'!L17</f>
        <v/>
      </c>
      <c r="M13" s="29">
        <f>'1 · Datos'!M11-'1 · Datos'!M17</f>
        <v/>
      </c>
      <c r="N13" s="29">
        <f>'1 · Datos'!N11-'1 · Datos'!N17</f>
        <v/>
      </c>
      <c r="O13" s="29">
        <f>'1 · Datos'!O11-'1 · Datos'!O17</f>
        <v/>
      </c>
      <c r="P13" s="30">
        <f>IF(N(INDEX('1 · Datos'!$D$11:$O$11,'0 · Configuración'!$C$9))=0,"—",IFERROR(SUM(OFFSET(D13,0,0,1,'0 · Configuración'!$C$9)),"—"))</f>
        <v/>
      </c>
      <c r="Q13" s="1" t="n"/>
      <c r="R13" s="1" t="n"/>
    </row>
    <row r="14" ht="15" customHeight="1">
      <c r="A14" s="1" t="n"/>
      <c r="B14" s="60" t="inlineStr">
        <is>
          <t>Cumplimiento</t>
        </is>
      </c>
      <c r="C14" s="1" t="n"/>
      <c r="D14" s="61">
        <f>IFERROR('1 · Datos'!D11/'1 · Datos'!D17,0)</f>
        <v/>
      </c>
      <c r="E14" s="61">
        <f>IFERROR('1 · Datos'!E11/'1 · Datos'!E17,0)</f>
        <v/>
      </c>
      <c r="F14" s="61">
        <f>IFERROR('1 · Datos'!F11/'1 · Datos'!F17,0)</f>
        <v/>
      </c>
      <c r="G14" s="61">
        <f>IFERROR('1 · Datos'!G11/'1 · Datos'!G17,0)</f>
        <v/>
      </c>
      <c r="H14" s="61">
        <f>IFERROR('1 · Datos'!H11/'1 · Datos'!H17,0)</f>
        <v/>
      </c>
      <c r="I14" s="61">
        <f>IFERROR('1 · Datos'!I11/'1 · Datos'!I17,0)</f>
        <v/>
      </c>
      <c r="J14" s="61">
        <f>IFERROR('1 · Datos'!J11/'1 · Datos'!J17,0)</f>
        <v/>
      </c>
      <c r="K14" s="61">
        <f>IFERROR('1 · Datos'!K11/'1 · Datos'!K17,0)</f>
        <v/>
      </c>
      <c r="L14" s="61">
        <f>IFERROR('1 · Datos'!L11/'1 · Datos'!L17,0)</f>
        <v/>
      </c>
      <c r="M14" s="61">
        <f>IFERROR('1 · Datos'!M11/'1 · Datos'!M17,0)</f>
        <v/>
      </c>
      <c r="N14" s="61">
        <f>IFERROR('1 · Datos'!N11/'1 · Datos'!N17,0)</f>
        <v/>
      </c>
      <c r="O14" s="61">
        <f>IFERROR('1 · Datos'!O11/'1 · Datos'!O17,0)</f>
        <v/>
      </c>
      <c r="P14" s="61">
        <f>IF(N(INDEX('1 · Datos'!$D$11:$O$11,'0 · Configuración'!$C$9))=0,"—",IFERROR(SUM(OFFSET('1 · Datos'!$D$11,0,0,1,'0 · Configuración'!$C$9))/SUM(OFFSET('1 · Datos'!$D$17,0,0,1,'0 · Configuración'!$C$9)),"—"))</f>
        <v/>
      </c>
      <c r="Q14" s="1" t="n"/>
      <c r="R14" s="1" t="n"/>
    </row>
    <row r="15">
      <c r="A15" s="1" t="n"/>
      <c r="B15" s="27" t="inlineStr">
        <is>
          <t>PIPELINE PONDERADO DE COMERCIAL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 ht="15" customHeight="1">
      <c r="A16" s="1" t="n"/>
      <c r="B16" s="28" t="inlineStr">
        <is>
          <t>Pipeline</t>
        </is>
      </c>
      <c r="C16" s="1" t="n"/>
      <c r="D16" s="29">
        <f>'1 · Datos'!D23</f>
        <v/>
      </c>
      <c r="E16" s="29">
        <f>'1 · Datos'!E23</f>
        <v/>
      </c>
      <c r="F16" s="29">
        <f>'1 · Datos'!F23</f>
        <v/>
      </c>
      <c r="G16" s="29">
        <f>'1 · Datos'!G23</f>
        <v/>
      </c>
      <c r="H16" s="29">
        <f>'1 · Datos'!H23</f>
        <v/>
      </c>
      <c r="I16" s="29">
        <f>'1 · Datos'!I23</f>
        <v/>
      </c>
      <c r="J16" s="29">
        <f>'1 · Datos'!J23</f>
        <v/>
      </c>
      <c r="K16" s="29">
        <f>'1 · Datos'!K23</f>
        <v/>
      </c>
      <c r="L16" s="29">
        <f>'1 · Datos'!L23</f>
        <v/>
      </c>
      <c r="M16" s="29">
        <f>'1 · Datos'!M23</f>
        <v/>
      </c>
      <c r="N16" s="29">
        <f>'1 · Datos'!N23</f>
        <v/>
      </c>
      <c r="O16" s="29">
        <f>'1 · Datos'!O23</f>
        <v/>
      </c>
      <c r="P16" s="30">
        <f>IF(N(INDEX('1 · Datos'!$D$11:$O$11,'0 · Configuración'!$C$9))=0,"—",IFERROR(SUM(OFFSET(D16,0,0,1,'0 · Configuración'!$C$9)),"—"))</f>
        <v/>
      </c>
      <c r="Q16" s="1" t="n"/>
      <c r="R16" s="1" t="n"/>
    </row>
    <row r="17" ht="15" customHeight="1">
      <c r="A17" s="1" t="n"/>
      <c r="B17" s="31" t="inlineStr">
        <is>
          <t>Cobertura del presupuesto</t>
        </is>
      </c>
      <c r="C17" s="1" t="n"/>
      <c r="D17" s="62">
        <f>IFERROR('1 · Datos'!D23/'1 · Datos'!D17,0)</f>
        <v/>
      </c>
      <c r="E17" s="62">
        <f>IFERROR('1 · Datos'!E23/'1 · Datos'!E17,0)</f>
        <v/>
      </c>
      <c r="F17" s="62">
        <f>IFERROR('1 · Datos'!F23/'1 · Datos'!F17,0)</f>
        <v/>
      </c>
      <c r="G17" s="62">
        <f>IFERROR('1 · Datos'!G23/'1 · Datos'!G17,0)</f>
        <v/>
      </c>
      <c r="H17" s="62">
        <f>IFERROR('1 · Datos'!H23/'1 · Datos'!H17,0)</f>
        <v/>
      </c>
      <c r="I17" s="62">
        <f>IFERROR('1 · Datos'!I23/'1 · Datos'!I17,0)</f>
        <v/>
      </c>
      <c r="J17" s="62">
        <f>IFERROR('1 · Datos'!J23/'1 · Datos'!J17,0)</f>
        <v/>
      </c>
      <c r="K17" s="62">
        <f>IFERROR('1 · Datos'!K23/'1 · Datos'!K17,0)</f>
        <v/>
      </c>
      <c r="L17" s="62">
        <f>IFERROR('1 · Datos'!L23/'1 · Datos'!L17,0)</f>
        <v/>
      </c>
      <c r="M17" s="62">
        <f>IFERROR('1 · Datos'!M23/'1 · Datos'!M17,0)</f>
        <v/>
      </c>
      <c r="N17" s="62">
        <f>IFERROR('1 · Datos'!N23/'1 · Datos'!N17,0)</f>
        <v/>
      </c>
      <c r="O17" s="62">
        <f>IFERROR('1 · Datos'!O23/'1 · Datos'!O17,0)</f>
        <v/>
      </c>
      <c r="P17" s="62">
        <f>IF(N(INDEX('1 · Datos'!$D$11:$O$11,'0 · Configuración'!$C$9))=0,"—",IFERROR(SUM(OFFSET('1 · Datos'!$D$23,0,0,1,'0 · Configuración'!$C$9))/SUM(OFFSET('1 · Datos'!$D$17,0,0,1,'0 · Configuración'!$C$9)),"—"))</f>
        <v/>
      </c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5822A"/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6" customHeight="1">
      <c r="A2" s="1" t="n"/>
      <c r="B2" s="14" t="inlineStr">
        <is>
          <t>MÁRGENES BRUTOS POR NEGOCIO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5" t="inlineStr">
        <is>
          <t>El consolidado esconde el problema. La junta quiere ver cuál línea lo está causando.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5" customHeight="1">
      <c r="A5" s="1" t="n"/>
      <c r="B5" s="24" t="inlineStr">
        <is>
          <t>CONCEPTO</t>
        </is>
      </c>
      <c r="C5" s="25" t="n"/>
      <c r="D5" s="26" t="inlineStr">
        <is>
          <t>Ene</t>
        </is>
      </c>
      <c r="E5" s="26" t="inlineStr">
        <is>
          <t>Feb</t>
        </is>
      </c>
      <c r="F5" s="26" t="inlineStr">
        <is>
          <t>Mar</t>
        </is>
      </c>
      <c r="G5" s="26" t="inlineStr">
        <is>
          <t>Abr</t>
        </is>
      </c>
      <c r="H5" s="26" t="inlineStr">
        <is>
          <t>May</t>
        </is>
      </c>
      <c r="I5" s="26" t="inlineStr">
        <is>
          <t>Jun</t>
        </is>
      </c>
      <c r="J5" s="26" t="inlineStr">
        <is>
          <t>Jul</t>
        </is>
      </c>
      <c r="K5" s="26" t="inlineStr">
        <is>
          <t>Ago</t>
        </is>
      </c>
      <c r="L5" s="26" t="inlineStr">
        <is>
          <t>Sep</t>
        </is>
      </c>
      <c r="M5" s="26" t="inlineStr">
        <is>
          <t>Oct</t>
        </is>
      </c>
      <c r="N5" s="26" t="inlineStr">
        <is>
          <t>Nov</t>
        </is>
      </c>
      <c r="O5" s="26" t="inlineStr">
        <is>
          <t>Dic</t>
        </is>
      </c>
      <c r="P5" s="26" t="inlineStr">
        <is>
          <t>AÑO</t>
        </is>
      </c>
      <c r="Q5" s="1" t="n"/>
      <c r="R5" s="1" t="n"/>
    </row>
    <row r="6">
      <c r="A6" s="1" t="n"/>
      <c r="B6" s="27" t="inlineStr">
        <is>
          <t>MARGEN BRUTO POR LÍNEA (VALOR)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5" customHeight="1">
      <c r="A7" s="1" t="n"/>
      <c r="B7" s="28">
        <f>'0 · Configuración'!C12</f>
        <v/>
      </c>
      <c r="C7" s="1" t="n"/>
      <c r="D7" s="29">
        <f>'1 · Datos'!D8-'1 · Datos'!D29</f>
        <v/>
      </c>
      <c r="E7" s="29">
        <f>'1 · Datos'!E8-'1 · Datos'!E29</f>
        <v/>
      </c>
      <c r="F7" s="29">
        <f>'1 · Datos'!F8-'1 · Datos'!F29</f>
        <v/>
      </c>
      <c r="G7" s="29">
        <f>'1 · Datos'!G8-'1 · Datos'!G29</f>
        <v/>
      </c>
      <c r="H7" s="29">
        <f>'1 · Datos'!H8-'1 · Datos'!H29</f>
        <v/>
      </c>
      <c r="I7" s="29">
        <f>'1 · Datos'!I8-'1 · Datos'!I29</f>
        <v/>
      </c>
      <c r="J7" s="29">
        <f>'1 · Datos'!J8-'1 · Datos'!J29</f>
        <v/>
      </c>
      <c r="K7" s="29">
        <f>'1 · Datos'!K8-'1 · Datos'!K29</f>
        <v/>
      </c>
      <c r="L7" s="29">
        <f>'1 · Datos'!L8-'1 · Datos'!L29</f>
        <v/>
      </c>
      <c r="M7" s="29">
        <f>'1 · Datos'!M8-'1 · Datos'!M29</f>
        <v/>
      </c>
      <c r="N7" s="29">
        <f>'1 · Datos'!N8-'1 · Datos'!N29</f>
        <v/>
      </c>
      <c r="O7" s="29">
        <f>'1 · Datos'!O8-'1 · Datos'!O29</f>
        <v/>
      </c>
      <c r="P7" s="30">
        <f>IF(N(INDEX('1 · Datos'!$D$11:$O$11,'0 · Configuración'!$C$9))=0,"—",IFERROR(SUM(OFFSET(D7,0,0,1,'0 · Configuración'!$C$9)),"—"))</f>
        <v/>
      </c>
      <c r="Q7" s="1" t="n"/>
      <c r="R7" s="1" t="n"/>
    </row>
    <row r="8" ht="15" customHeight="1">
      <c r="A8" s="1" t="n"/>
      <c r="B8" s="28">
        <f>'0 · Configuración'!C13</f>
        <v/>
      </c>
      <c r="C8" s="1" t="n"/>
      <c r="D8" s="29">
        <f>'1 · Datos'!D9-'1 · Datos'!D30</f>
        <v/>
      </c>
      <c r="E8" s="29">
        <f>'1 · Datos'!E9-'1 · Datos'!E30</f>
        <v/>
      </c>
      <c r="F8" s="29">
        <f>'1 · Datos'!F9-'1 · Datos'!F30</f>
        <v/>
      </c>
      <c r="G8" s="29">
        <f>'1 · Datos'!G9-'1 · Datos'!G30</f>
        <v/>
      </c>
      <c r="H8" s="29">
        <f>'1 · Datos'!H9-'1 · Datos'!H30</f>
        <v/>
      </c>
      <c r="I8" s="29">
        <f>'1 · Datos'!I9-'1 · Datos'!I30</f>
        <v/>
      </c>
      <c r="J8" s="29">
        <f>'1 · Datos'!J9-'1 · Datos'!J30</f>
        <v/>
      </c>
      <c r="K8" s="29">
        <f>'1 · Datos'!K9-'1 · Datos'!K30</f>
        <v/>
      </c>
      <c r="L8" s="29">
        <f>'1 · Datos'!L9-'1 · Datos'!L30</f>
        <v/>
      </c>
      <c r="M8" s="29">
        <f>'1 · Datos'!M9-'1 · Datos'!M30</f>
        <v/>
      </c>
      <c r="N8" s="29">
        <f>'1 · Datos'!N9-'1 · Datos'!N30</f>
        <v/>
      </c>
      <c r="O8" s="29">
        <f>'1 · Datos'!O9-'1 · Datos'!O30</f>
        <v/>
      </c>
      <c r="P8" s="30">
        <f>IF(N(INDEX('1 · Datos'!$D$11:$O$11,'0 · Configuración'!$C$9))=0,"—",IFERROR(SUM(OFFSET(D8,0,0,1,'0 · Configuración'!$C$9)),"—"))</f>
        <v/>
      </c>
      <c r="Q8" s="1" t="n"/>
      <c r="R8" s="1" t="n"/>
    </row>
    <row r="9" ht="15" customHeight="1">
      <c r="A9" s="1" t="n"/>
      <c r="B9" s="28">
        <f>'0 · Configuración'!C14</f>
        <v/>
      </c>
      <c r="C9" s="1" t="n"/>
      <c r="D9" s="29">
        <f>'1 · Datos'!D10-'1 · Datos'!D31</f>
        <v/>
      </c>
      <c r="E9" s="29">
        <f>'1 · Datos'!E10-'1 · Datos'!E31</f>
        <v/>
      </c>
      <c r="F9" s="29">
        <f>'1 · Datos'!F10-'1 · Datos'!F31</f>
        <v/>
      </c>
      <c r="G9" s="29">
        <f>'1 · Datos'!G10-'1 · Datos'!G31</f>
        <v/>
      </c>
      <c r="H9" s="29">
        <f>'1 · Datos'!H10-'1 · Datos'!H31</f>
        <v/>
      </c>
      <c r="I9" s="29">
        <f>'1 · Datos'!I10-'1 · Datos'!I31</f>
        <v/>
      </c>
      <c r="J9" s="29">
        <f>'1 · Datos'!J10-'1 · Datos'!J31</f>
        <v/>
      </c>
      <c r="K9" s="29">
        <f>'1 · Datos'!K10-'1 · Datos'!K31</f>
        <v/>
      </c>
      <c r="L9" s="29">
        <f>'1 · Datos'!L10-'1 · Datos'!L31</f>
        <v/>
      </c>
      <c r="M9" s="29">
        <f>'1 · Datos'!M10-'1 · Datos'!M31</f>
        <v/>
      </c>
      <c r="N9" s="29">
        <f>'1 · Datos'!N10-'1 · Datos'!N31</f>
        <v/>
      </c>
      <c r="O9" s="29">
        <f>'1 · Datos'!O10-'1 · Datos'!O31</f>
        <v/>
      </c>
      <c r="P9" s="30">
        <f>IF(N(INDEX('1 · Datos'!$D$11:$O$11,'0 · Configuración'!$C$9))=0,"—",IFERROR(SUM(OFFSET(D9,0,0,1,'0 · Configuración'!$C$9)),"—"))</f>
        <v/>
      </c>
      <c r="Q9" s="1" t="n"/>
      <c r="R9" s="1" t="n"/>
    </row>
    <row r="10" ht="15" customHeight="1">
      <c r="A10" s="1" t="n"/>
      <c r="B10" s="31" t="inlineStr">
        <is>
          <t>Margen bruto total</t>
        </is>
      </c>
      <c r="C10" s="1" t="n"/>
      <c r="D10" s="32">
        <f>'1 · Datos'!D11-'1 · Datos'!D32</f>
        <v/>
      </c>
      <c r="E10" s="32">
        <f>'1 · Datos'!E11-'1 · Datos'!E32</f>
        <v/>
      </c>
      <c r="F10" s="32">
        <f>'1 · Datos'!F11-'1 · Datos'!F32</f>
        <v/>
      </c>
      <c r="G10" s="32">
        <f>'1 · Datos'!G11-'1 · Datos'!G32</f>
        <v/>
      </c>
      <c r="H10" s="32">
        <f>'1 · Datos'!H11-'1 · Datos'!H32</f>
        <v/>
      </c>
      <c r="I10" s="32">
        <f>'1 · Datos'!I11-'1 · Datos'!I32</f>
        <v/>
      </c>
      <c r="J10" s="32">
        <f>'1 · Datos'!J11-'1 · Datos'!J32</f>
        <v/>
      </c>
      <c r="K10" s="32">
        <f>'1 · Datos'!K11-'1 · Datos'!K32</f>
        <v/>
      </c>
      <c r="L10" s="32">
        <f>'1 · Datos'!L11-'1 · Datos'!L32</f>
        <v/>
      </c>
      <c r="M10" s="32">
        <f>'1 · Datos'!M11-'1 · Datos'!M32</f>
        <v/>
      </c>
      <c r="N10" s="32">
        <f>'1 · Datos'!N11-'1 · Datos'!N32</f>
        <v/>
      </c>
      <c r="O10" s="32">
        <f>'1 · Datos'!O11-'1 · Datos'!O32</f>
        <v/>
      </c>
      <c r="P10" s="32">
        <f>IF(N(INDEX('1 · Datos'!$D$11:$O$11,'0 · Configuración'!$C$9))=0,"—",IFERROR(SUM(OFFSET(D10,0,0,1,'0 · Configuración'!$C$9)),"—"))</f>
        <v/>
      </c>
      <c r="Q10" s="1" t="n"/>
      <c r="R10" s="1" t="n"/>
    </row>
    <row r="11">
      <c r="A11" s="1" t="n"/>
      <c r="B11" s="27" t="inlineStr">
        <is>
          <t>MARGEN BRUTO POR LÍNEA (%)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 ht="15" customHeight="1">
      <c r="A12" s="1" t="n"/>
      <c r="B12" s="28">
        <f>'0 · Configuración'!C12</f>
        <v/>
      </c>
      <c r="C12" s="1" t="n"/>
      <c r="D12" s="63">
        <f>IFERROR(1-'1 · Datos'!D29/'1 · Datos'!D8,0)</f>
        <v/>
      </c>
      <c r="E12" s="63">
        <f>IFERROR(1-'1 · Datos'!E29/'1 · Datos'!E8,0)</f>
        <v/>
      </c>
      <c r="F12" s="63">
        <f>IFERROR(1-'1 · Datos'!F29/'1 · Datos'!F8,0)</f>
        <v/>
      </c>
      <c r="G12" s="63">
        <f>IFERROR(1-'1 · Datos'!G29/'1 · Datos'!G8,0)</f>
        <v/>
      </c>
      <c r="H12" s="63">
        <f>IFERROR(1-'1 · Datos'!H29/'1 · Datos'!H8,0)</f>
        <v/>
      </c>
      <c r="I12" s="63">
        <f>IFERROR(1-'1 · Datos'!I29/'1 · Datos'!I8,0)</f>
        <v/>
      </c>
      <c r="J12" s="63">
        <f>IFERROR(1-'1 · Datos'!J29/'1 · Datos'!J8,0)</f>
        <v/>
      </c>
      <c r="K12" s="63">
        <f>IFERROR(1-'1 · Datos'!K29/'1 · Datos'!K8,0)</f>
        <v/>
      </c>
      <c r="L12" s="63">
        <f>IFERROR(1-'1 · Datos'!L29/'1 · Datos'!L8,0)</f>
        <v/>
      </c>
      <c r="M12" s="63">
        <f>IFERROR(1-'1 · Datos'!M29/'1 · Datos'!M8,0)</f>
        <v/>
      </c>
      <c r="N12" s="63">
        <f>IFERROR(1-'1 · Datos'!N29/'1 · Datos'!N8,0)</f>
        <v/>
      </c>
      <c r="O12" s="63">
        <f>IFERROR(1-'1 · Datos'!O29/'1 · Datos'!O8,0)</f>
        <v/>
      </c>
      <c r="P12" s="61">
        <f>IF(N(INDEX('1 · Datos'!$D$11:$O$11,'0 · Configuración'!$C$9))=0,"—",IFERROR(1-SUM(OFFSET('1 · Datos'!$D$29,0,0,1,'0 · Configuración'!$C$9))/SUM(OFFSET('1 · Datos'!$D$8,0,0,1,'0 · Configuración'!$C$9)),"—"))</f>
        <v/>
      </c>
      <c r="Q12" s="1" t="n"/>
      <c r="R12" s="1" t="n"/>
    </row>
    <row r="13" ht="15" customHeight="1">
      <c r="A13" s="1" t="n"/>
      <c r="B13" s="28">
        <f>'0 · Configuración'!C13</f>
        <v/>
      </c>
      <c r="C13" s="1" t="n"/>
      <c r="D13" s="63">
        <f>IFERROR(1-'1 · Datos'!D30/'1 · Datos'!D9,0)</f>
        <v/>
      </c>
      <c r="E13" s="63">
        <f>IFERROR(1-'1 · Datos'!E30/'1 · Datos'!E9,0)</f>
        <v/>
      </c>
      <c r="F13" s="63">
        <f>IFERROR(1-'1 · Datos'!F30/'1 · Datos'!F9,0)</f>
        <v/>
      </c>
      <c r="G13" s="63">
        <f>IFERROR(1-'1 · Datos'!G30/'1 · Datos'!G9,0)</f>
        <v/>
      </c>
      <c r="H13" s="63">
        <f>IFERROR(1-'1 · Datos'!H30/'1 · Datos'!H9,0)</f>
        <v/>
      </c>
      <c r="I13" s="63">
        <f>IFERROR(1-'1 · Datos'!I30/'1 · Datos'!I9,0)</f>
        <v/>
      </c>
      <c r="J13" s="63">
        <f>IFERROR(1-'1 · Datos'!J30/'1 · Datos'!J9,0)</f>
        <v/>
      </c>
      <c r="K13" s="63">
        <f>IFERROR(1-'1 · Datos'!K30/'1 · Datos'!K9,0)</f>
        <v/>
      </c>
      <c r="L13" s="63">
        <f>IFERROR(1-'1 · Datos'!L30/'1 · Datos'!L9,0)</f>
        <v/>
      </c>
      <c r="M13" s="63">
        <f>IFERROR(1-'1 · Datos'!M30/'1 · Datos'!M9,0)</f>
        <v/>
      </c>
      <c r="N13" s="63">
        <f>IFERROR(1-'1 · Datos'!N30/'1 · Datos'!N9,0)</f>
        <v/>
      </c>
      <c r="O13" s="63">
        <f>IFERROR(1-'1 · Datos'!O30/'1 · Datos'!O9,0)</f>
        <v/>
      </c>
      <c r="P13" s="61">
        <f>IF(N(INDEX('1 · Datos'!$D$11:$O$11,'0 · Configuración'!$C$9))=0,"—",IFERROR(1-SUM(OFFSET('1 · Datos'!$D$30,0,0,1,'0 · Configuración'!$C$9))/SUM(OFFSET('1 · Datos'!$D$9,0,0,1,'0 · Configuración'!$C$9)),"—"))</f>
        <v/>
      </c>
      <c r="Q13" s="1" t="n"/>
      <c r="R13" s="1" t="n"/>
    </row>
    <row r="14" ht="15" customHeight="1">
      <c r="A14" s="1" t="n"/>
      <c r="B14" s="28">
        <f>'0 · Configuración'!C14</f>
        <v/>
      </c>
      <c r="C14" s="1" t="n"/>
      <c r="D14" s="63">
        <f>IFERROR(1-'1 · Datos'!D31/'1 · Datos'!D10,0)</f>
        <v/>
      </c>
      <c r="E14" s="63">
        <f>IFERROR(1-'1 · Datos'!E31/'1 · Datos'!E10,0)</f>
        <v/>
      </c>
      <c r="F14" s="63">
        <f>IFERROR(1-'1 · Datos'!F31/'1 · Datos'!F10,0)</f>
        <v/>
      </c>
      <c r="G14" s="63">
        <f>IFERROR(1-'1 · Datos'!G31/'1 · Datos'!G10,0)</f>
        <v/>
      </c>
      <c r="H14" s="63">
        <f>IFERROR(1-'1 · Datos'!H31/'1 · Datos'!H10,0)</f>
        <v/>
      </c>
      <c r="I14" s="63">
        <f>IFERROR(1-'1 · Datos'!I31/'1 · Datos'!I10,0)</f>
        <v/>
      </c>
      <c r="J14" s="63">
        <f>IFERROR(1-'1 · Datos'!J31/'1 · Datos'!J10,0)</f>
        <v/>
      </c>
      <c r="K14" s="63">
        <f>IFERROR(1-'1 · Datos'!K31/'1 · Datos'!K10,0)</f>
        <v/>
      </c>
      <c r="L14" s="63">
        <f>IFERROR(1-'1 · Datos'!L31/'1 · Datos'!L10,0)</f>
        <v/>
      </c>
      <c r="M14" s="63">
        <f>IFERROR(1-'1 · Datos'!M31/'1 · Datos'!M10,0)</f>
        <v/>
      </c>
      <c r="N14" s="63">
        <f>IFERROR(1-'1 · Datos'!N31/'1 · Datos'!N10,0)</f>
        <v/>
      </c>
      <c r="O14" s="63">
        <f>IFERROR(1-'1 · Datos'!O31/'1 · Datos'!O10,0)</f>
        <v/>
      </c>
      <c r="P14" s="61">
        <f>IF(N(INDEX('1 · Datos'!$D$11:$O$11,'0 · Configuración'!$C$9))=0,"—",IFERROR(1-SUM(OFFSET('1 · Datos'!$D$31,0,0,1,'0 · Configuración'!$C$9))/SUM(OFFSET('1 · Datos'!$D$10,0,0,1,'0 · Configuración'!$C$9)),"—"))</f>
        <v/>
      </c>
      <c r="Q14" s="1" t="n"/>
      <c r="R14" s="1" t="n"/>
    </row>
    <row r="15" ht="15" customHeight="1">
      <c r="A15" s="1" t="n"/>
      <c r="B15" s="31" t="inlineStr">
        <is>
          <t>Margen bruto consolidado</t>
        </is>
      </c>
      <c r="C15" s="1" t="n"/>
      <c r="D15" s="62">
        <f>IFERROR(1-'1 · Datos'!D32/'1 · Datos'!D11,0)</f>
        <v/>
      </c>
      <c r="E15" s="62">
        <f>IFERROR(1-'1 · Datos'!E32/'1 · Datos'!E11,0)</f>
        <v/>
      </c>
      <c r="F15" s="62">
        <f>IFERROR(1-'1 · Datos'!F32/'1 · Datos'!F11,0)</f>
        <v/>
      </c>
      <c r="G15" s="62">
        <f>IFERROR(1-'1 · Datos'!G32/'1 · Datos'!G11,0)</f>
        <v/>
      </c>
      <c r="H15" s="62">
        <f>IFERROR(1-'1 · Datos'!H32/'1 · Datos'!H11,0)</f>
        <v/>
      </c>
      <c r="I15" s="62">
        <f>IFERROR(1-'1 · Datos'!I32/'1 · Datos'!I11,0)</f>
        <v/>
      </c>
      <c r="J15" s="62">
        <f>IFERROR(1-'1 · Datos'!J32/'1 · Datos'!J11,0)</f>
        <v/>
      </c>
      <c r="K15" s="62">
        <f>IFERROR(1-'1 · Datos'!K32/'1 · Datos'!K11,0)</f>
        <v/>
      </c>
      <c r="L15" s="62">
        <f>IFERROR(1-'1 · Datos'!L32/'1 · Datos'!L11,0)</f>
        <v/>
      </c>
      <c r="M15" s="62">
        <f>IFERROR(1-'1 · Datos'!M32/'1 · Datos'!M11,0)</f>
        <v/>
      </c>
      <c r="N15" s="62">
        <f>IFERROR(1-'1 · Datos'!N32/'1 · Datos'!N11,0)</f>
        <v/>
      </c>
      <c r="O15" s="62">
        <f>IFERROR(1-'1 · Datos'!O32/'1 · Datos'!O11,0)</f>
        <v/>
      </c>
      <c r="P15" s="62">
        <f>IF(N(INDEX('1 · Datos'!$D$11:$O$11,'0 · Configuración'!$C$9))=0,"—",IFERROR(1-SUM(OFFSET('1 · Datos'!$D$32,0,0,1,'0 · Configuración'!$C$9))/SUM(OFFSET('1 · Datos'!$D$11,0,0,1,'0 · Configuración'!$C$9)),"—"))</f>
        <v/>
      </c>
      <c r="Q15" s="1" t="n"/>
      <c r="R15" s="1" t="n"/>
    </row>
    <row r="16" ht="15" customHeight="1">
      <c r="A16" s="1" t="n"/>
      <c r="B16" s="28" t="inlineStr">
        <is>
          <t>Mínimo aceptable</t>
        </is>
      </c>
      <c r="C16" s="1" t="n"/>
      <c r="D16" s="63">
        <f>'0 · Configuración'!$C$27</f>
        <v/>
      </c>
      <c r="E16" s="63">
        <f>'0 · Configuración'!$C$27</f>
        <v/>
      </c>
      <c r="F16" s="63">
        <f>'0 · Configuración'!$C$27</f>
        <v/>
      </c>
      <c r="G16" s="63">
        <f>'0 · Configuración'!$C$27</f>
        <v/>
      </c>
      <c r="H16" s="63">
        <f>'0 · Configuración'!$C$27</f>
        <v/>
      </c>
      <c r="I16" s="63">
        <f>'0 · Configuración'!$C$27</f>
        <v/>
      </c>
      <c r="J16" s="63">
        <f>'0 · Configuración'!$C$27</f>
        <v/>
      </c>
      <c r="K16" s="63">
        <f>'0 · Configuración'!$C$27</f>
        <v/>
      </c>
      <c r="L16" s="63">
        <f>'0 · Configuración'!$C$27</f>
        <v/>
      </c>
      <c r="M16" s="63">
        <f>'0 · Configuración'!$C$27</f>
        <v/>
      </c>
      <c r="N16" s="63">
        <f>'0 · Configuración'!$C$27</f>
        <v/>
      </c>
      <c r="O16" s="63">
        <f>'0 · Configuración'!$C$27</f>
        <v/>
      </c>
      <c r="P16" s="1" t="n"/>
      <c r="Q16" s="1" t="n"/>
      <c r="R16" s="1" t="n"/>
    </row>
    <row r="17">
      <c r="A17" s="1" t="n"/>
      <c r="B17" s="27" t="inlineStr">
        <is>
          <t>EBITDA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 ht="15" customHeight="1">
      <c r="A18" s="1" t="n"/>
      <c r="B18" s="31" t="inlineStr">
        <is>
          <t>EBITDA</t>
        </is>
      </c>
      <c r="C18" s="1" t="n"/>
      <c r="D18" s="32">
        <f>'1 · Datos'!D11-'1 · Datos'!D32-'1 · Datos'!D50</f>
        <v/>
      </c>
      <c r="E18" s="32">
        <f>'1 · Datos'!E11-'1 · Datos'!E32-'1 · Datos'!E50</f>
        <v/>
      </c>
      <c r="F18" s="32">
        <f>'1 · Datos'!F11-'1 · Datos'!F32-'1 · Datos'!F50</f>
        <v/>
      </c>
      <c r="G18" s="32">
        <f>'1 · Datos'!G11-'1 · Datos'!G32-'1 · Datos'!G50</f>
        <v/>
      </c>
      <c r="H18" s="32">
        <f>'1 · Datos'!H11-'1 · Datos'!H32-'1 · Datos'!H50</f>
        <v/>
      </c>
      <c r="I18" s="32">
        <f>'1 · Datos'!I11-'1 · Datos'!I32-'1 · Datos'!I50</f>
        <v/>
      </c>
      <c r="J18" s="32">
        <f>'1 · Datos'!J11-'1 · Datos'!J32-'1 · Datos'!J50</f>
        <v/>
      </c>
      <c r="K18" s="32">
        <f>'1 · Datos'!K11-'1 · Datos'!K32-'1 · Datos'!K50</f>
        <v/>
      </c>
      <c r="L18" s="32">
        <f>'1 · Datos'!L11-'1 · Datos'!L32-'1 · Datos'!L50</f>
        <v/>
      </c>
      <c r="M18" s="32">
        <f>'1 · Datos'!M11-'1 · Datos'!M32-'1 · Datos'!M50</f>
        <v/>
      </c>
      <c r="N18" s="32">
        <f>'1 · Datos'!N11-'1 · Datos'!N32-'1 · Datos'!N50</f>
        <v/>
      </c>
      <c r="O18" s="32">
        <f>'1 · Datos'!O11-'1 · Datos'!O32-'1 · Datos'!O50</f>
        <v/>
      </c>
      <c r="P18" s="32">
        <f>IF(N(INDEX('1 · Datos'!$D$11:$O$11,'0 · Configuración'!$C$9))=0,"—",IFERROR(SUM(OFFSET(D18,0,0,1,'0 · Configuración'!$C$9)),"—"))</f>
        <v/>
      </c>
      <c r="Q18" s="1" t="n"/>
      <c r="R18" s="1" t="n"/>
    </row>
    <row r="19" ht="15" customHeight="1">
      <c r="A19" s="1" t="n"/>
      <c r="B19" s="60" t="inlineStr">
        <is>
          <t>Margen EBITDA</t>
        </is>
      </c>
      <c r="C19" s="1" t="n"/>
      <c r="D19" s="61">
        <f>IFERROR(('1 · Datos'!D11-'1 · Datos'!D32-'1 · Datos'!D50)/'1 · Datos'!D11,0)</f>
        <v/>
      </c>
      <c r="E19" s="61">
        <f>IFERROR(('1 · Datos'!E11-'1 · Datos'!E32-'1 · Datos'!E50)/'1 · Datos'!E11,0)</f>
        <v/>
      </c>
      <c r="F19" s="61">
        <f>IFERROR(('1 · Datos'!F11-'1 · Datos'!F32-'1 · Datos'!F50)/'1 · Datos'!F11,0)</f>
        <v/>
      </c>
      <c r="G19" s="61">
        <f>IFERROR(('1 · Datos'!G11-'1 · Datos'!G32-'1 · Datos'!G50)/'1 · Datos'!G11,0)</f>
        <v/>
      </c>
      <c r="H19" s="61">
        <f>IFERROR(('1 · Datos'!H11-'1 · Datos'!H32-'1 · Datos'!H50)/'1 · Datos'!H11,0)</f>
        <v/>
      </c>
      <c r="I19" s="61">
        <f>IFERROR(('1 · Datos'!I11-'1 · Datos'!I32-'1 · Datos'!I50)/'1 · Datos'!I11,0)</f>
        <v/>
      </c>
      <c r="J19" s="61">
        <f>IFERROR(('1 · Datos'!J11-'1 · Datos'!J32-'1 · Datos'!J50)/'1 · Datos'!J11,0)</f>
        <v/>
      </c>
      <c r="K19" s="61">
        <f>IFERROR(('1 · Datos'!K11-'1 · Datos'!K32-'1 · Datos'!K50)/'1 · Datos'!K11,0)</f>
        <v/>
      </c>
      <c r="L19" s="61">
        <f>IFERROR(('1 · Datos'!L11-'1 · Datos'!L32-'1 · Datos'!L50)/'1 · Datos'!L11,0)</f>
        <v/>
      </c>
      <c r="M19" s="61">
        <f>IFERROR(('1 · Datos'!M11-'1 · Datos'!M32-'1 · Datos'!M50)/'1 · Datos'!M11,0)</f>
        <v/>
      </c>
      <c r="N19" s="61">
        <f>IFERROR(('1 · Datos'!N11-'1 · Datos'!N32-'1 · Datos'!N50)/'1 · Datos'!N11,0)</f>
        <v/>
      </c>
      <c r="O19" s="61">
        <f>IFERROR(('1 · Datos'!O11-'1 · Datos'!O32-'1 · Datos'!O50)/'1 · Datos'!O11,0)</f>
        <v/>
      </c>
      <c r="P19" s="61">
        <f>IF(N(INDEX('1 · Datos'!$D$11:$O$11,'0 · Configuración'!$C$9))=0,"—",IFERROR((SUM(OFFSET('1 · Datos'!$D$11,0,0,1,'0 · Configuración'!$C$9))-SUM(OFFSET('1 · Datos'!$D$32,0,0,1,'0 · Configuración'!$C$9))-SUM(OFFSET('1 · Datos'!$D$50,0,0,1,'0 · Configuración'!$C$9)))/SUM(OFFSET('1 · Datos'!$D$11,0,0,1,'0 · Configuración'!$C$9)),"—"))</f>
        <v/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5822A"/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6" customHeight="1">
      <c r="A2" s="1" t="n"/>
      <c r="B2" s="14" t="inlineStr">
        <is>
          <t>CONTROL DE GASTO ADMINISTRATIVO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5" t="inlineStr">
        <is>
          <t>El gasto no se lee por su signo: se lee contra el presupuesto y contra el ingreso que lo sostiene.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5" customHeight="1">
      <c r="A5" s="1" t="n"/>
      <c r="B5" s="24" t="inlineStr">
        <is>
          <t>CONCEPTO</t>
        </is>
      </c>
      <c r="C5" s="25" t="n"/>
      <c r="D5" s="26" t="inlineStr">
        <is>
          <t>Ene</t>
        </is>
      </c>
      <c r="E5" s="26" t="inlineStr">
        <is>
          <t>Feb</t>
        </is>
      </c>
      <c r="F5" s="26" t="inlineStr">
        <is>
          <t>Mar</t>
        </is>
      </c>
      <c r="G5" s="26" t="inlineStr">
        <is>
          <t>Abr</t>
        </is>
      </c>
      <c r="H5" s="26" t="inlineStr">
        <is>
          <t>May</t>
        </is>
      </c>
      <c r="I5" s="26" t="inlineStr">
        <is>
          <t>Jun</t>
        </is>
      </c>
      <c r="J5" s="26" t="inlineStr">
        <is>
          <t>Jul</t>
        </is>
      </c>
      <c r="K5" s="26" t="inlineStr">
        <is>
          <t>Ago</t>
        </is>
      </c>
      <c r="L5" s="26" t="inlineStr">
        <is>
          <t>Sep</t>
        </is>
      </c>
      <c r="M5" s="26" t="inlineStr">
        <is>
          <t>Oct</t>
        </is>
      </c>
      <c r="N5" s="26" t="inlineStr">
        <is>
          <t>Nov</t>
        </is>
      </c>
      <c r="O5" s="26" t="inlineStr">
        <is>
          <t>Dic</t>
        </is>
      </c>
      <c r="P5" s="26" t="inlineStr">
        <is>
          <t>AÑO</t>
        </is>
      </c>
      <c r="Q5" s="1" t="n"/>
      <c r="R5" s="1" t="n"/>
    </row>
    <row r="6">
      <c r="A6" s="1" t="n"/>
      <c r="B6" s="27" t="inlineStr">
        <is>
          <t>GASTO REAL POR CATEGORÍA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5" customHeight="1">
      <c r="A7" s="1" t="n"/>
      <c r="B7" s="28">
        <f>'0 · Configuración'!C17</f>
        <v/>
      </c>
      <c r="C7" s="1" t="n"/>
      <c r="D7" s="29">
        <f>'1 · Datos'!D44</f>
        <v/>
      </c>
      <c r="E7" s="29">
        <f>'1 · Datos'!E44</f>
        <v/>
      </c>
      <c r="F7" s="29">
        <f>'1 · Datos'!F44</f>
        <v/>
      </c>
      <c r="G7" s="29">
        <f>'1 · Datos'!G44</f>
        <v/>
      </c>
      <c r="H7" s="29">
        <f>'1 · Datos'!H44</f>
        <v/>
      </c>
      <c r="I7" s="29">
        <f>'1 · Datos'!I44</f>
        <v/>
      </c>
      <c r="J7" s="29">
        <f>'1 · Datos'!J44</f>
        <v/>
      </c>
      <c r="K7" s="29">
        <f>'1 · Datos'!K44</f>
        <v/>
      </c>
      <c r="L7" s="29">
        <f>'1 · Datos'!L44</f>
        <v/>
      </c>
      <c r="M7" s="29">
        <f>'1 · Datos'!M44</f>
        <v/>
      </c>
      <c r="N7" s="29">
        <f>'1 · Datos'!N44</f>
        <v/>
      </c>
      <c r="O7" s="29">
        <f>'1 · Datos'!O44</f>
        <v/>
      </c>
      <c r="P7" s="30">
        <f>IF(N(INDEX('1 · Datos'!$D$11:$O$11,'0 · Configuración'!$C$9))=0,"—",IFERROR(SUM(OFFSET(D7,0,0,1,'0 · Configuración'!$C$9)),"—"))</f>
        <v/>
      </c>
      <c r="Q7" s="1" t="n"/>
      <c r="R7" s="1" t="n"/>
    </row>
    <row r="8" ht="15" customHeight="1">
      <c r="A8" s="1" t="n"/>
      <c r="B8" s="28">
        <f>'0 · Configuración'!C18</f>
        <v/>
      </c>
      <c r="C8" s="1" t="n"/>
      <c r="D8" s="29">
        <f>'1 · Datos'!D45</f>
        <v/>
      </c>
      <c r="E8" s="29">
        <f>'1 · Datos'!E45</f>
        <v/>
      </c>
      <c r="F8" s="29">
        <f>'1 · Datos'!F45</f>
        <v/>
      </c>
      <c r="G8" s="29">
        <f>'1 · Datos'!G45</f>
        <v/>
      </c>
      <c r="H8" s="29">
        <f>'1 · Datos'!H45</f>
        <v/>
      </c>
      <c r="I8" s="29">
        <f>'1 · Datos'!I45</f>
        <v/>
      </c>
      <c r="J8" s="29">
        <f>'1 · Datos'!J45</f>
        <v/>
      </c>
      <c r="K8" s="29">
        <f>'1 · Datos'!K45</f>
        <v/>
      </c>
      <c r="L8" s="29">
        <f>'1 · Datos'!L45</f>
        <v/>
      </c>
      <c r="M8" s="29">
        <f>'1 · Datos'!M45</f>
        <v/>
      </c>
      <c r="N8" s="29">
        <f>'1 · Datos'!N45</f>
        <v/>
      </c>
      <c r="O8" s="29">
        <f>'1 · Datos'!O45</f>
        <v/>
      </c>
      <c r="P8" s="30">
        <f>IF(N(INDEX('1 · Datos'!$D$11:$O$11,'0 · Configuración'!$C$9))=0,"—",IFERROR(SUM(OFFSET(D8,0,0,1,'0 · Configuración'!$C$9)),"—"))</f>
        <v/>
      </c>
      <c r="Q8" s="1" t="n"/>
      <c r="R8" s="1" t="n"/>
    </row>
    <row r="9" ht="15" customHeight="1">
      <c r="A9" s="1" t="n"/>
      <c r="B9" s="28">
        <f>'0 · Configuración'!C19</f>
        <v/>
      </c>
      <c r="C9" s="1" t="n"/>
      <c r="D9" s="29">
        <f>'1 · Datos'!D46</f>
        <v/>
      </c>
      <c r="E9" s="29">
        <f>'1 · Datos'!E46</f>
        <v/>
      </c>
      <c r="F9" s="29">
        <f>'1 · Datos'!F46</f>
        <v/>
      </c>
      <c r="G9" s="29">
        <f>'1 · Datos'!G46</f>
        <v/>
      </c>
      <c r="H9" s="29">
        <f>'1 · Datos'!H46</f>
        <v/>
      </c>
      <c r="I9" s="29">
        <f>'1 · Datos'!I46</f>
        <v/>
      </c>
      <c r="J9" s="29">
        <f>'1 · Datos'!J46</f>
        <v/>
      </c>
      <c r="K9" s="29">
        <f>'1 · Datos'!K46</f>
        <v/>
      </c>
      <c r="L9" s="29">
        <f>'1 · Datos'!L46</f>
        <v/>
      </c>
      <c r="M9" s="29">
        <f>'1 · Datos'!M46</f>
        <v/>
      </c>
      <c r="N9" s="29">
        <f>'1 · Datos'!N46</f>
        <v/>
      </c>
      <c r="O9" s="29">
        <f>'1 · Datos'!O46</f>
        <v/>
      </c>
      <c r="P9" s="30">
        <f>IF(N(INDEX('1 · Datos'!$D$11:$O$11,'0 · Configuración'!$C$9))=0,"—",IFERROR(SUM(OFFSET(D9,0,0,1,'0 · Configuración'!$C$9)),"—"))</f>
        <v/>
      </c>
      <c r="Q9" s="1" t="n"/>
      <c r="R9" s="1" t="n"/>
    </row>
    <row r="10" ht="15" customHeight="1">
      <c r="A10" s="1" t="n"/>
      <c r="B10" s="28">
        <f>'0 · Configuración'!C20</f>
        <v/>
      </c>
      <c r="C10" s="1" t="n"/>
      <c r="D10" s="29">
        <f>'1 · Datos'!D47</f>
        <v/>
      </c>
      <c r="E10" s="29">
        <f>'1 · Datos'!E47</f>
        <v/>
      </c>
      <c r="F10" s="29">
        <f>'1 · Datos'!F47</f>
        <v/>
      </c>
      <c r="G10" s="29">
        <f>'1 · Datos'!G47</f>
        <v/>
      </c>
      <c r="H10" s="29">
        <f>'1 · Datos'!H47</f>
        <v/>
      </c>
      <c r="I10" s="29">
        <f>'1 · Datos'!I47</f>
        <v/>
      </c>
      <c r="J10" s="29">
        <f>'1 · Datos'!J47</f>
        <v/>
      </c>
      <c r="K10" s="29">
        <f>'1 · Datos'!K47</f>
        <v/>
      </c>
      <c r="L10" s="29">
        <f>'1 · Datos'!L47</f>
        <v/>
      </c>
      <c r="M10" s="29">
        <f>'1 · Datos'!M47</f>
        <v/>
      </c>
      <c r="N10" s="29">
        <f>'1 · Datos'!N47</f>
        <v/>
      </c>
      <c r="O10" s="29">
        <f>'1 · Datos'!O47</f>
        <v/>
      </c>
      <c r="P10" s="30">
        <f>IF(N(INDEX('1 · Datos'!$D$11:$O$11,'0 · Configuración'!$C$9))=0,"—",IFERROR(SUM(OFFSET(D10,0,0,1,'0 · Configuración'!$C$9)),"—"))</f>
        <v/>
      </c>
      <c r="Q10" s="1" t="n"/>
      <c r="R10" s="1" t="n"/>
    </row>
    <row r="11" ht="15" customHeight="1">
      <c r="A11" s="1" t="n"/>
      <c r="B11" s="28">
        <f>'0 · Configuración'!C21</f>
        <v/>
      </c>
      <c r="C11" s="1" t="n"/>
      <c r="D11" s="29">
        <f>'1 · Datos'!D48</f>
        <v/>
      </c>
      <c r="E11" s="29">
        <f>'1 · Datos'!E48</f>
        <v/>
      </c>
      <c r="F11" s="29">
        <f>'1 · Datos'!F48</f>
        <v/>
      </c>
      <c r="G11" s="29">
        <f>'1 · Datos'!G48</f>
        <v/>
      </c>
      <c r="H11" s="29">
        <f>'1 · Datos'!H48</f>
        <v/>
      </c>
      <c r="I11" s="29">
        <f>'1 · Datos'!I48</f>
        <v/>
      </c>
      <c r="J11" s="29">
        <f>'1 · Datos'!J48</f>
        <v/>
      </c>
      <c r="K11" s="29">
        <f>'1 · Datos'!K48</f>
        <v/>
      </c>
      <c r="L11" s="29">
        <f>'1 · Datos'!L48</f>
        <v/>
      </c>
      <c r="M11" s="29">
        <f>'1 · Datos'!M48</f>
        <v/>
      </c>
      <c r="N11" s="29">
        <f>'1 · Datos'!N48</f>
        <v/>
      </c>
      <c r="O11" s="29">
        <f>'1 · Datos'!O48</f>
        <v/>
      </c>
      <c r="P11" s="30">
        <f>IF(N(INDEX('1 · Datos'!$D$11:$O$11,'0 · Configuración'!$C$9))=0,"—",IFERROR(SUM(OFFSET(D11,0,0,1,'0 · Configuración'!$C$9)),"—"))</f>
        <v/>
      </c>
      <c r="Q11" s="1" t="n"/>
      <c r="R11" s="1" t="n"/>
    </row>
    <row r="12" ht="15" customHeight="1">
      <c r="A12" s="1" t="n"/>
      <c r="B12" s="28">
        <f>'0 · Configuración'!C22</f>
        <v/>
      </c>
      <c r="C12" s="1" t="n"/>
      <c r="D12" s="29">
        <f>'1 · Datos'!D49</f>
        <v/>
      </c>
      <c r="E12" s="29">
        <f>'1 · Datos'!E49</f>
        <v/>
      </c>
      <c r="F12" s="29">
        <f>'1 · Datos'!F49</f>
        <v/>
      </c>
      <c r="G12" s="29">
        <f>'1 · Datos'!G49</f>
        <v/>
      </c>
      <c r="H12" s="29">
        <f>'1 · Datos'!H49</f>
        <v/>
      </c>
      <c r="I12" s="29">
        <f>'1 · Datos'!I49</f>
        <v/>
      </c>
      <c r="J12" s="29">
        <f>'1 · Datos'!J49</f>
        <v/>
      </c>
      <c r="K12" s="29">
        <f>'1 · Datos'!K49</f>
        <v/>
      </c>
      <c r="L12" s="29">
        <f>'1 · Datos'!L49</f>
        <v/>
      </c>
      <c r="M12" s="29">
        <f>'1 · Datos'!M49</f>
        <v/>
      </c>
      <c r="N12" s="29">
        <f>'1 · Datos'!N49</f>
        <v/>
      </c>
      <c r="O12" s="29">
        <f>'1 · Datos'!O49</f>
        <v/>
      </c>
      <c r="P12" s="30">
        <f>IF(N(INDEX('1 · Datos'!$D$11:$O$11,'0 · Configuración'!$C$9))=0,"—",IFERROR(SUM(OFFSET(D12,0,0,1,'0 · Configuración'!$C$9)),"—"))</f>
        <v/>
      </c>
      <c r="Q12" s="1" t="n"/>
      <c r="R12" s="1" t="n"/>
    </row>
    <row r="13" ht="15" customHeight="1">
      <c r="A13" s="1" t="n"/>
      <c r="B13" s="31" t="inlineStr">
        <is>
          <t>Total gasto administrativo</t>
        </is>
      </c>
      <c r="C13" s="1" t="n"/>
      <c r="D13" s="32">
        <f>'1 · Datos'!D50</f>
        <v/>
      </c>
      <c r="E13" s="32">
        <f>'1 · Datos'!E50</f>
        <v/>
      </c>
      <c r="F13" s="32">
        <f>'1 · Datos'!F50</f>
        <v/>
      </c>
      <c r="G13" s="32">
        <f>'1 · Datos'!G50</f>
        <v/>
      </c>
      <c r="H13" s="32">
        <f>'1 · Datos'!H50</f>
        <v/>
      </c>
      <c r="I13" s="32">
        <f>'1 · Datos'!I50</f>
        <v/>
      </c>
      <c r="J13" s="32">
        <f>'1 · Datos'!J50</f>
        <v/>
      </c>
      <c r="K13" s="32">
        <f>'1 · Datos'!K50</f>
        <v/>
      </c>
      <c r="L13" s="32">
        <f>'1 · Datos'!L50</f>
        <v/>
      </c>
      <c r="M13" s="32">
        <f>'1 · Datos'!M50</f>
        <v/>
      </c>
      <c r="N13" s="32">
        <f>'1 · Datos'!N50</f>
        <v/>
      </c>
      <c r="O13" s="32">
        <f>'1 · Datos'!O50</f>
        <v/>
      </c>
      <c r="P13" s="32">
        <f>IF(N(INDEX('1 · Datos'!$D$11:$O$11,'0 · Configuración'!$C$9))=0,"—",IFERROR(SUM(OFFSET(D13,0,0,1,'0 · Configuración'!$C$9)),"—"))</f>
        <v/>
      </c>
      <c r="Q13" s="1" t="n"/>
      <c r="R13" s="1" t="n"/>
    </row>
    <row r="14">
      <c r="A14" s="1" t="n"/>
      <c r="B14" s="27" t="inlineStr">
        <is>
          <t>CONTRA PRESUPUESTO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 ht="15" customHeight="1">
      <c r="A15" s="1" t="n"/>
      <c r="B15" s="28" t="inlineStr">
        <is>
          <t>Presupuesto</t>
        </is>
      </c>
      <c r="C15" s="1" t="n"/>
      <c r="D15" s="29">
        <f>'1 · Datos'!D59</f>
        <v/>
      </c>
      <c r="E15" s="29">
        <f>'1 · Datos'!E59</f>
        <v/>
      </c>
      <c r="F15" s="29">
        <f>'1 · Datos'!F59</f>
        <v/>
      </c>
      <c r="G15" s="29">
        <f>'1 · Datos'!G59</f>
        <v/>
      </c>
      <c r="H15" s="29">
        <f>'1 · Datos'!H59</f>
        <v/>
      </c>
      <c r="I15" s="29">
        <f>'1 · Datos'!I59</f>
        <v/>
      </c>
      <c r="J15" s="29">
        <f>'1 · Datos'!J59</f>
        <v/>
      </c>
      <c r="K15" s="29">
        <f>'1 · Datos'!K59</f>
        <v/>
      </c>
      <c r="L15" s="29">
        <f>'1 · Datos'!L59</f>
        <v/>
      </c>
      <c r="M15" s="29">
        <f>'1 · Datos'!M59</f>
        <v/>
      </c>
      <c r="N15" s="29">
        <f>'1 · Datos'!N59</f>
        <v/>
      </c>
      <c r="O15" s="29">
        <f>'1 · Datos'!O59</f>
        <v/>
      </c>
      <c r="P15" s="30">
        <f>IF(N(INDEX('1 · Datos'!$D$11:$O$11,'0 · Configuración'!$C$9))=0,"—",IFERROR(SUM(OFFSET(D15,0,0,1,'0 · Configuración'!$C$9)),"—"))</f>
        <v/>
      </c>
      <c r="Q15" s="1" t="n"/>
      <c r="R15" s="1" t="n"/>
    </row>
    <row r="16" ht="15" customHeight="1">
      <c r="A16" s="1" t="n"/>
      <c r="B16" s="28" t="inlineStr">
        <is>
          <t>Sobreejecución</t>
        </is>
      </c>
      <c r="C16" s="1" t="n"/>
      <c r="D16" s="29">
        <f>'1 · Datos'!D50-'1 · Datos'!D59</f>
        <v/>
      </c>
      <c r="E16" s="29">
        <f>'1 · Datos'!E50-'1 · Datos'!E59</f>
        <v/>
      </c>
      <c r="F16" s="29">
        <f>'1 · Datos'!F50-'1 · Datos'!F59</f>
        <v/>
      </c>
      <c r="G16" s="29">
        <f>'1 · Datos'!G50-'1 · Datos'!G59</f>
        <v/>
      </c>
      <c r="H16" s="29">
        <f>'1 · Datos'!H50-'1 · Datos'!H59</f>
        <v/>
      </c>
      <c r="I16" s="29">
        <f>'1 · Datos'!I50-'1 · Datos'!I59</f>
        <v/>
      </c>
      <c r="J16" s="29">
        <f>'1 · Datos'!J50-'1 · Datos'!J59</f>
        <v/>
      </c>
      <c r="K16" s="29">
        <f>'1 · Datos'!K50-'1 · Datos'!K59</f>
        <v/>
      </c>
      <c r="L16" s="29">
        <f>'1 · Datos'!L50-'1 · Datos'!L59</f>
        <v/>
      </c>
      <c r="M16" s="29">
        <f>'1 · Datos'!M50-'1 · Datos'!M59</f>
        <v/>
      </c>
      <c r="N16" s="29">
        <f>'1 · Datos'!N50-'1 · Datos'!N59</f>
        <v/>
      </c>
      <c r="O16" s="29">
        <f>'1 · Datos'!O50-'1 · Datos'!O59</f>
        <v/>
      </c>
      <c r="P16" s="30">
        <f>IF(N(INDEX('1 · Datos'!$D$11:$O$11,'0 · Configuración'!$C$9))=0,"—",IFERROR(SUM(OFFSET(D16,0,0,1,'0 · Configuración'!$C$9)),"—"))</f>
        <v/>
      </c>
      <c r="Q16" s="1" t="n"/>
      <c r="R16" s="1" t="n"/>
    </row>
    <row r="17" ht="15" customHeight="1">
      <c r="A17" s="1" t="n"/>
      <c r="B17" s="31" t="inlineStr">
        <is>
          <t>Ejecución</t>
        </is>
      </c>
      <c r="C17" s="1" t="n"/>
      <c r="D17" s="62">
        <f>IFERROR('1 · Datos'!D50/'1 · Datos'!D59,0)</f>
        <v/>
      </c>
      <c r="E17" s="62">
        <f>IFERROR('1 · Datos'!E50/'1 · Datos'!E59,0)</f>
        <v/>
      </c>
      <c r="F17" s="62">
        <f>IFERROR('1 · Datos'!F50/'1 · Datos'!F59,0)</f>
        <v/>
      </c>
      <c r="G17" s="62">
        <f>IFERROR('1 · Datos'!G50/'1 · Datos'!G59,0)</f>
        <v/>
      </c>
      <c r="H17" s="62">
        <f>IFERROR('1 · Datos'!H50/'1 · Datos'!H59,0)</f>
        <v/>
      </c>
      <c r="I17" s="62">
        <f>IFERROR('1 · Datos'!I50/'1 · Datos'!I59,0)</f>
        <v/>
      </c>
      <c r="J17" s="62">
        <f>IFERROR('1 · Datos'!J50/'1 · Datos'!J59,0)</f>
        <v/>
      </c>
      <c r="K17" s="62">
        <f>IFERROR('1 · Datos'!K50/'1 · Datos'!K59,0)</f>
        <v/>
      </c>
      <c r="L17" s="62">
        <f>IFERROR('1 · Datos'!L50/'1 · Datos'!L59,0)</f>
        <v/>
      </c>
      <c r="M17" s="62">
        <f>IFERROR('1 · Datos'!M50/'1 · Datos'!M59,0)</f>
        <v/>
      </c>
      <c r="N17" s="62">
        <f>IFERROR('1 · Datos'!N50/'1 · Datos'!N59,0)</f>
        <v/>
      </c>
      <c r="O17" s="62">
        <f>IFERROR('1 · Datos'!O50/'1 · Datos'!O59,0)</f>
        <v/>
      </c>
      <c r="P17" s="62">
        <f>IF(N(INDEX('1 · Datos'!$D$11:$O$11,'0 · Configuración'!$C$9))=0,"—",IFERROR(AVERAGE(OFFSET(D17,0,0,1,'0 · Configuración'!$C$9)),"—"))</f>
        <v/>
      </c>
      <c r="Q17" s="1" t="n"/>
      <c r="R17" s="1" t="n"/>
    </row>
    <row r="18">
      <c r="A18" s="1" t="n"/>
      <c r="B18" s="27" t="inlineStr">
        <is>
          <t>PESO SOBRE INGRESO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 ht="15" customHeight="1">
      <c r="A19" s="1" t="n"/>
      <c r="B19" s="60" t="inlineStr">
        <is>
          <t>Gasto sobre ingreso</t>
        </is>
      </c>
      <c r="C19" s="1" t="n"/>
      <c r="D19" s="61">
        <f>IFERROR('1 · Datos'!D50/'1 · Datos'!D11,0)</f>
        <v/>
      </c>
      <c r="E19" s="61">
        <f>IFERROR('1 · Datos'!E50/'1 · Datos'!E11,0)</f>
        <v/>
      </c>
      <c r="F19" s="61">
        <f>IFERROR('1 · Datos'!F50/'1 · Datos'!F11,0)</f>
        <v/>
      </c>
      <c r="G19" s="61">
        <f>IFERROR('1 · Datos'!G50/'1 · Datos'!G11,0)</f>
        <v/>
      </c>
      <c r="H19" s="61">
        <f>IFERROR('1 · Datos'!H50/'1 · Datos'!H11,0)</f>
        <v/>
      </c>
      <c r="I19" s="61">
        <f>IFERROR('1 · Datos'!I50/'1 · Datos'!I11,0)</f>
        <v/>
      </c>
      <c r="J19" s="61">
        <f>IFERROR('1 · Datos'!J50/'1 · Datos'!J11,0)</f>
        <v/>
      </c>
      <c r="K19" s="61">
        <f>IFERROR('1 · Datos'!K50/'1 · Datos'!K11,0)</f>
        <v/>
      </c>
      <c r="L19" s="61">
        <f>IFERROR('1 · Datos'!L50/'1 · Datos'!L11,0)</f>
        <v/>
      </c>
      <c r="M19" s="61">
        <f>IFERROR('1 · Datos'!M50/'1 · Datos'!M11,0)</f>
        <v/>
      </c>
      <c r="N19" s="61">
        <f>IFERROR('1 · Datos'!N50/'1 · Datos'!N11,0)</f>
        <v/>
      </c>
      <c r="O19" s="61">
        <f>IFERROR('1 · Datos'!O50/'1 · Datos'!O11,0)</f>
        <v/>
      </c>
      <c r="P19" s="61">
        <f>IF(N(INDEX('1 · Datos'!$D$11:$O$11,'0 · Configuración'!$C$9))=0,"—",IFERROR(AVERAGE(OFFSET(D19,0,0,1,'0 · Configuración'!$C$9)),"—"))</f>
        <v/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B5822A"/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6" customHeight="1">
      <c r="A2" s="1" t="n"/>
      <c r="B2" s="14" t="inlineStr">
        <is>
          <t>PRONÓSTICO DE CAJA, DEUDA Y COBERTURAS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5" t="inlineStr">
        <is>
          <t>Si hace falta inyección, aquí va — junto a la acción de deuda ya tomada, no solo el hueco.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5" customHeight="1">
      <c r="A5" s="1" t="n"/>
      <c r="B5" s="24" t="inlineStr">
        <is>
          <t>CONCEPTO</t>
        </is>
      </c>
      <c r="C5" s="25" t="n"/>
      <c r="D5" s="26" t="inlineStr">
        <is>
          <t>Ene</t>
        </is>
      </c>
      <c r="E5" s="26" t="inlineStr">
        <is>
          <t>Feb</t>
        </is>
      </c>
      <c r="F5" s="26" t="inlineStr">
        <is>
          <t>Mar</t>
        </is>
      </c>
      <c r="G5" s="26" t="inlineStr">
        <is>
          <t>Abr</t>
        </is>
      </c>
      <c r="H5" s="26" t="inlineStr">
        <is>
          <t>May</t>
        </is>
      </c>
      <c r="I5" s="26" t="inlineStr">
        <is>
          <t>Jun</t>
        </is>
      </c>
      <c r="J5" s="26" t="inlineStr">
        <is>
          <t>Jul</t>
        </is>
      </c>
      <c r="K5" s="26" t="inlineStr">
        <is>
          <t>Ago</t>
        </is>
      </c>
      <c r="L5" s="26" t="inlineStr">
        <is>
          <t>Sep</t>
        </is>
      </c>
      <c r="M5" s="26" t="inlineStr">
        <is>
          <t>Oct</t>
        </is>
      </c>
      <c r="N5" s="26" t="inlineStr">
        <is>
          <t>Nov</t>
        </is>
      </c>
      <c r="O5" s="26" t="inlineStr">
        <is>
          <t>Dic</t>
        </is>
      </c>
      <c r="P5" s="26" t="inlineStr">
        <is>
          <t>AÑO</t>
        </is>
      </c>
      <c r="Q5" s="1" t="n"/>
      <c r="R5" s="1" t="n"/>
    </row>
    <row r="6">
      <c r="A6" s="1" t="n"/>
      <c r="B6" s="27" t="inlineStr">
        <is>
          <t>FLUJO DE CAJA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5" customHeight="1">
      <c r="A7" s="1" t="n"/>
      <c r="B7" s="28" t="inlineStr">
        <is>
          <t>Recaudo de clientes</t>
        </is>
      </c>
      <c r="C7" s="1" t="n"/>
      <c r="D7" s="29">
        <f>'1 · Datos'!D64</f>
        <v/>
      </c>
      <c r="E7" s="29">
        <f>'1 · Datos'!E64</f>
        <v/>
      </c>
      <c r="F7" s="29">
        <f>'1 · Datos'!F64</f>
        <v/>
      </c>
      <c r="G7" s="29">
        <f>'1 · Datos'!G64</f>
        <v/>
      </c>
      <c r="H7" s="29">
        <f>'1 · Datos'!H64</f>
        <v/>
      </c>
      <c r="I7" s="29">
        <f>'1 · Datos'!I64</f>
        <v/>
      </c>
      <c r="J7" s="29">
        <f>'1 · Datos'!J64</f>
        <v/>
      </c>
      <c r="K7" s="29">
        <f>'1 · Datos'!K64</f>
        <v/>
      </c>
      <c r="L7" s="29">
        <f>'1 · Datos'!L64</f>
        <v/>
      </c>
      <c r="M7" s="29">
        <f>'1 · Datos'!M64</f>
        <v/>
      </c>
      <c r="N7" s="29">
        <f>'1 · Datos'!N64</f>
        <v/>
      </c>
      <c r="O7" s="29">
        <f>'1 · Datos'!O64</f>
        <v/>
      </c>
      <c r="P7" s="30">
        <f>IF(N(INDEX('1 · Datos'!$D$11:$O$11,'0 · Configuración'!$C$9))=0,"—",IFERROR(SUM(OFFSET(D7,0,0,1,'0 · Configuración'!$C$9)),"—"))</f>
        <v/>
      </c>
      <c r="Q7" s="1" t="n"/>
      <c r="R7" s="1" t="n"/>
    </row>
    <row r="8" ht="15" customHeight="1">
      <c r="A8" s="1" t="n"/>
      <c r="B8" s="28" t="inlineStr">
        <is>
          <t>Salidas operativas y de inversión</t>
        </is>
      </c>
      <c r="C8" s="1" t="n"/>
      <c r="D8" s="29">
        <f>-('1 · Datos'!D65+'1 · Datos'!D66+'1 · Datos'!D67)</f>
        <v/>
      </c>
      <c r="E8" s="29">
        <f>-('1 · Datos'!E65+'1 · Datos'!E66+'1 · Datos'!E67)</f>
        <v/>
      </c>
      <c r="F8" s="29">
        <f>-('1 · Datos'!F65+'1 · Datos'!F66+'1 · Datos'!F67)</f>
        <v/>
      </c>
      <c r="G8" s="29">
        <f>-('1 · Datos'!G65+'1 · Datos'!G66+'1 · Datos'!G67)</f>
        <v/>
      </c>
      <c r="H8" s="29">
        <f>-('1 · Datos'!H65+'1 · Datos'!H66+'1 · Datos'!H67)</f>
        <v/>
      </c>
      <c r="I8" s="29">
        <f>-('1 · Datos'!I65+'1 · Datos'!I66+'1 · Datos'!I67)</f>
        <v/>
      </c>
      <c r="J8" s="29">
        <f>-('1 · Datos'!J65+'1 · Datos'!J66+'1 · Datos'!J67)</f>
        <v/>
      </c>
      <c r="K8" s="29">
        <f>-('1 · Datos'!K65+'1 · Datos'!K66+'1 · Datos'!K67)</f>
        <v/>
      </c>
      <c r="L8" s="29">
        <f>-('1 · Datos'!L65+'1 · Datos'!L66+'1 · Datos'!L67)</f>
        <v/>
      </c>
      <c r="M8" s="29">
        <f>-('1 · Datos'!M65+'1 · Datos'!M66+'1 · Datos'!M67)</f>
        <v/>
      </c>
      <c r="N8" s="29">
        <f>-('1 · Datos'!N65+'1 · Datos'!N66+'1 · Datos'!N67)</f>
        <v/>
      </c>
      <c r="O8" s="29">
        <f>-('1 · Datos'!O65+'1 · Datos'!O66+'1 · Datos'!O67)</f>
        <v/>
      </c>
      <c r="P8" s="30">
        <f>IF(N(INDEX('1 · Datos'!$D$11:$O$11,'0 · Configuración'!$C$9))=0,"—",IFERROR(SUM(OFFSET(D8,0,0,1,'0 · Configuración'!$C$9)),"—"))</f>
        <v/>
      </c>
      <c r="Q8" s="1" t="n"/>
      <c r="R8" s="1" t="n"/>
    </row>
    <row r="9" ht="15" customHeight="1">
      <c r="A9" s="1" t="n"/>
      <c r="B9" s="28" t="inlineStr">
        <is>
          <t>Deuda neta</t>
        </is>
      </c>
      <c r="C9" s="1" t="n"/>
      <c r="D9" s="29">
        <f>'1 · Datos'!D69-'1 · Datos'!D68</f>
        <v/>
      </c>
      <c r="E9" s="29">
        <f>'1 · Datos'!E69-'1 · Datos'!E68</f>
        <v/>
      </c>
      <c r="F9" s="29">
        <f>'1 · Datos'!F69-'1 · Datos'!F68</f>
        <v/>
      </c>
      <c r="G9" s="29">
        <f>'1 · Datos'!G69-'1 · Datos'!G68</f>
        <v/>
      </c>
      <c r="H9" s="29">
        <f>'1 · Datos'!H69-'1 · Datos'!H68</f>
        <v/>
      </c>
      <c r="I9" s="29">
        <f>'1 · Datos'!I69-'1 · Datos'!I68</f>
        <v/>
      </c>
      <c r="J9" s="29">
        <f>'1 · Datos'!J69-'1 · Datos'!J68</f>
        <v/>
      </c>
      <c r="K9" s="29">
        <f>'1 · Datos'!K69-'1 · Datos'!K68</f>
        <v/>
      </c>
      <c r="L9" s="29">
        <f>'1 · Datos'!L69-'1 · Datos'!L68</f>
        <v/>
      </c>
      <c r="M9" s="29">
        <f>'1 · Datos'!M69-'1 · Datos'!M68</f>
        <v/>
      </c>
      <c r="N9" s="29">
        <f>'1 · Datos'!N69-'1 · Datos'!N68</f>
        <v/>
      </c>
      <c r="O9" s="29">
        <f>'1 · Datos'!O69-'1 · Datos'!O68</f>
        <v/>
      </c>
      <c r="P9" s="30">
        <f>IF(N(INDEX('1 · Datos'!$D$11:$O$11,'0 · Configuración'!$C$9))=0,"—",IFERROR(SUM(OFFSET(D9,0,0,1,'0 · Configuración'!$C$9)),"—"))</f>
        <v/>
      </c>
      <c r="Q9" s="1" t="n"/>
      <c r="R9" s="1" t="n"/>
    </row>
    <row r="10" ht="15" customHeight="1">
      <c r="A10" s="1" t="n"/>
      <c r="B10" s="60" t="inlineStr">
        <is>
          <t>Flujo neto del mes</t>
        </is>
      </c>
      <c r="C10" s="1" t="n"/>
      <c r="D10" s="30">
        <f>'1 · Datos'!D70</f>
        <v/>
      </c>
      <c r="E10" s="30">
        <f>'1 · Datos'!E70</f>
        <v/>
      </c>
      <c r="F10" s="30">
        <f>'1 · Datos'!F70</f>
        <v/>
      </c>
      <c r="G10" s="30">
        <f>'1 · Datos'!G70</f>
        <v/>
      </c>
      <c r="H10" s="30">
        <f>'1 · Datos'!H70</f>
        <v/>
      </c>
      <c r="I10" s="30">
        <f>'1 · Datos'!I70</f>
        <v/>
      </c>
      <c r="J10" s="30">
        <f>'1 · Datos'!J70</f>
        <v/>
      </c>
      <c r="K10" s="30">
        <f>'1 · Datos'!K70</f>
        <v/>
      </c>
      <c r="L10" s="30">
        <f>'1 · Datos'!L70</f>
        <v/>
      </c>
      <c r="M10" s="30">
        <f>'1 · Datos'!M70</f>
        <v/>
      </c>
      <c r="N10" s="30">
        <f>'1 · Datos'!N70</f>
        <v/>
      </c>
      <c r="O10" s="30">
        <f>'1 · Datos'!O70</f>
        <v/>
      </c>
      <c r="P10" s="30">
        <f>IF(N(INDEX('1 · Datos'!$D$11:$O$11,'0 · Configuración'!$C$9))=0,"—",IFERROR(SUM(OFFSET(D10,0,0,1,'0 · Configuración'!$C$9)),"—"))</f>
        <v/>
      </c>
      <c r="Q10" s="1" t="n"/>
      <c r="R10" s="1" t="n"/>
    </row>
    <row r="11" ht="15" customHeight="1">
      <c r="A11" s="1" t="n"/>
      <c r="B11" s="31" t="inlineStr">
        <is>
          <t>Saldo de caja al cierre</t>
        </is>
      </c>
      <c r="C11" s="1" t="n"/>
      <c r="D11" s="32">
        <f>'1 · Datos'!D71</f>
        <v/>
      </c>
      <c r="E11" s="32">
        <f>'1 · Datos'!E71</f>
        <v/>
      </c>
      <c r="F11" s="32">
        <f>'1 · Datos'!F71</f>
        <v/>
      </c>
      <c r="G11" s="32">
        <f>'1 · Datos'!G71</f>
        <v/>
      </c>
      <c r="H11" s="32">
        <f>'1 · Datos'!H71</f>
        <v/>
      </c>
      <c r="I11" s="32">
        <f>'1 · Datos'!I71</f>
        <v/>
      </c>
      <c r="J11" s="32">
        <f>'1 · Datos'!J71</f>
        <v/>
      </c>
      <c r="K11" s="32">
        <f>'1 · Datos'!K71</f>
        <v/>
      </c>
      <c r="L11" s="32">
        <f>'1 · Datos'!L71</f>
        <v/>
      </c>
      <c r="M11" s="32">
        <f>'1 · Datos'!M71</f>
        <v/>
      </c>
      <c r="N11" s="32">
        <f>'1 · Datos'!N71</f>
        <v/>
      </c>
      <c r="O11" s="32">
        <f>'1 · Datos'!O71</f>
        <v/>
      </c>
      <c r="P11" s="32">
        <f>IF(N(INDEX('1 · Datos'!$D$11:$O$11,'0 · Configuración'!$C$9))=0,"—",IFERROR(INDEX(D11:O11,'0 · Configuración'!$C$9),"—"))</f>
        <v/>
      </c>
      <c r="Q11" s="1" t="n"/>
      <c r="R11" s="1" t="n"/>
    </row>
    <row r="12" ht="15" customHeight="1">
      <c r="A12" s="1" t="n"/>
      <c r="B12" s="28" t="inlineStr">
        <is>
          <t>Caja mínima de operación</t>
        </is>
      </c>
      <c r="C12" s="1" t="n"/>
      <c r="D12" s="29">
        <f>'0 · Configuración'!$C$28</f>
        <v/>
      </c>
      <c r="E12" s="29">
        <f>'0 · Configuración'!$C$28</f>
        <v/>
      </c>
      <c r="F12" s="29">
        <f>'0 · Configuración'!$C$28</f>
        <v/>
      </c>
      <c r="G12" s="29">
        <f>'0 · Configuración'!$C$28</f>
        <v/>
      </c>
      <c r="H12" s="29">
        <f>'0 · Configuración'!$C$28</f>
        <v/>
      </c>
      <c r="I12" s="29">
        <f>'0 · Configuración'!$C$28</f>
        <v/>
      </c>
      <c r="J12" s="29">
        <f>'0 · Configuración'!$C$28</f>
        <v/>
      </c>
      <c r="K12" s="29">
        <f>'0 · Configuración'!$C$28</f>
        <v/>
      </c>
      <c r="L12" s="29">
        <f>'0 · Configuración'!$C$28</f>
        <v/>
      </c>
      <c r="M12" s="29">
        <f>'0 · Configuración'!$C$28</f>
        <v/>
      </c>
      <c r="N12" s="29">
        <f>'0 · Configuración'!$C$28</f>
        <v/>
      </c>
      <c r="O12" s="29">
        <f>'0 · Configuración'!$C$28</f>
        <v/>
      </c>
      <c r="P12" s="1" t="n"/>
      <c r="Q12" s="1" t="n"/>
      <c r="R12" s="1" t="n"/>
    </row>
    <row r="13" ht="15" customHeight="1">
      <c r="A13" s="1" t="n"/>
      <c r="B13" s="28" t="inlineStr">
        <is>
          <t>Meses de caja</t>
        </is>
      </c>
      <c r="C13" s="1" t="n"/>
      <c r="D13" s="64">
        <f>IFERROR('1 · Datos'!D71/'1 · Datos'!D65,0)</f>
        <v/>
      </c>
      <c r="E13" s="64">
        <f>IFERROR('1 · Datos'!E71/'1 · Datos'!E65,0)</f>
        <v/>
      </c>
      <c r="F13" s="64">
        <f>IFERROR('1 · Datos'!F71/'1 · Datos'!F65,0)</f>
        <v/>
      </c>
      <c r="G13" s="64">
        <f>IFERROR('1 · Datos'!G71/'1 · Datos'!G65,0)</f>
        <v/>
      </c>
      <c r="H13" s="64">
        <f>IFERROR('1 · Datos'!H71/'1 · Datos'!H65,0)</f>
        <v/>
      </c>
      <c r="I13" s="64">
        <f>IFERROR('1 · Datos'!I71/'1 · Datos'!I65,0)</f>
        <v/>
      </c>
      <c r="J13" s="64">
        <f>IFERROR('1 · Datos'!J71/'1 · Datos'!J65,0)</f>
        <v/>
      </c>
      <c r="K13" s="64">
        <f>IFERROR('1 · Datos'!K71/'1 · Datos'!K65,0)</f>
        <v/>
      </c>
      <c r="L13" s="64">
        <f>IFERROR('1 · Datos'!L71/'1 · Datos'!L65,0)</f>
        <v/>
      </c>
      <c r="M13" s="64">
        <f>IFERROR('1 · Datos'!M71/'1 · Datos'!M65,0)</f>
        <v/>
      </c>
      <c r="N13" s="64">
        <f>IFERROR('1 · Datos'!N71/'1 · Datos'!N65,0)</f>
        <v/>
      </c>
      <c r="O13" s="64">
        <f>IFERROR('1 · Datos'!O71/'1 · Datos'!O65,0)</f>
        <v/>
      </c>
      <c r="P13" s="65">
        <f>IF(N(INDEX('1 · Datos'!$D$11:$O$11,'0 · Configuración'!$C$9))=0,"—",IFERROR(AVERAGE(OFFSET(D13,0,0,1,'0 · Configuración'!$C$9)),"—"))</f>
        <v/>
      </c>
      <c r="Q13" s="1" t="n"/>
      <c r="R13" s="1" t="n"/>
    </row>
    <row r="14">
      <c r="A14" s="1" t="n"/>
      <c r="B14" s="27" t="inlineStr">
        <is>
          <t>DEUDA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 ht="15" customHeight="1">
      <c r="A15" s="1" t="n"/>
      <c r="B15" s="28" t="inlineStr">
        <is>
          <t>Saldo de deuda financiera</t>
        </is>
      </c>
      <c r="C15" s="1" t="n"/>
      <c r="D15" s="29">
        <f>'1 · Datos'!D72</f>
        <v/>
      </c>
      <c r="E15" s="29">
        <f>'1 · Datos'!E72</f>
        <v/>
      </c>
      <c r="F15" s="29">
        <f>'1 · Datos'!F72</f>
        <v/>
      </c>
      <c r="G15" s="29">
        <f>'1 · Datos'!G72</f>
        <v/>
      </c>
      <c r="H15" s="29">
        <f>'1 · Datos'!H72</f>
        <v/>
      </c>
      <c r="I15" s="29">
        <f>'1 · Datos'!I72</f>
        <v/>
      </c>
      <c r="J15" s="29">
        <f>'1 · Datos'!J72</f>
        <v/>
      </c>
      <c r="K15" s="29">
        <f>'1 · Datos'!K72</f>
        <v/>
      </c>
      <c r="L15" s="29">
        <f>'1 · Datos'!L72</f>
        <v/>
      </c>
      <c r="M15" s="29">
        <f>'1 · Datos'!M72</f>
        <v/>
      </c>
      <c r="N15" s="29">
        <f>'1 · Datos'!N72</f>
        <v/>
      </c>
      <c r="O15" s="29">
        <f>'1 · Datos'!O72</f>
        <v/>
      </c>
      <c r="P15" s="30">
        <f>IF(N(INDEX('1 · Datos'!$D$11:$O$11,'0 · Configuración'!$C$9))=0,"—",IFERROR(INDEX(D15:O15,'0 · Configuración'!$C$9),"—"))</f>
        <v/>
      </c>
      <c r="Q15" s="1" t="n"/>
      <c r="R15" s="1" t="n"/>
    </row>
    <row r="16" ht="15" customHeight="1">
      <c r="A16" s="1" t="n"/>
      <c r="B16" s="28" t="inlineStr">
        <is>
          <t>Deuda neta de caja</t>
        </is>
      </c>
      <c r="C16" s="1" t="n"/>
      <c r="D16" s="29">
        <f>'1 · Datos'!D72-'1 · Datos'!D71</f>
        <v/>
      </c>
      <c r="E16" s="29">
        <f>'1 · Datos'!E72-'1 · Datos'!E71</f>
        <v/>
      </c>
      <c r="F16" s="29">
        <f>'1 · Datos'!F72-'1 · Datos'!F71</f>
        <v/>
      </c>
      <c r="G16" s="29">
        <f>'1 · Datos'!G72-'1 · Datos'!G71</f>
        <v/>
      </c>
      <c r="H16" s="29">
        <f>'1 · Datos'!H72-'1 · Datos'!H71</f>
        <v/>
      </c>
      <c r="I16" s="29">
        <f>'1 · Datos'!I72-'1 · Datos'!I71</f>
        <v/>
      </c>
      <c r="J16" s="29">
        <f>'1 · Datos'!J72-'1 · Datos'!J71</f>
        <v/>
      </c>
      <c r="K16" s="29">
        <f>'1 · Datos'!K72-'1 · Datos'!K71</f>
        <v/>
      </c>
      <c r="L16" s="29">
        <f>'1 · Datos'!L72-'1 · Datos'!L71</f>
        <v/>
      </c>
      <c r="M16" s="29">
        <f>'1 · Datos'!M72-'1 · Datos'!M71</f>
        <v/>
      </c>
      <c r="N16" s="29">
        <f>'1 · Datos'!N72-'1 · Datos'!N71</f>
        <v/>
      </c>
      <c r="O16" s="29">
        <f>'1 · Datos'!O72-'1 · Datos'!O71</f>
        <v/>
      </c>
      <c r="P16" s="30">
        <f>IF(N(INDEX('1 · Datos'!$D$11:$O$11,'0 · Configuración'!$C$9))=0,"—",IFERROR(INDEX(D16:O16,'0 · Configuración'!$C$9),"—"))</f>
        <v/>
      </c>
      <c r="Q16" s="1" t="n"/>
      <c r="R16" s="1" t="n"/>
    </row>
    <row r="17" ht="15" customHeight="1">
      <c r="A17" s="1" t="n"/>
      <c r="B17" s="31" t="inlineStr">
        <is>
          <t>Apalancamiento (Deuda / EBITDA anualizado)</t>
        </is>
      </c>
      <c r="C17" s="1" t="n"/>
      <c r="D17" s="66">
        <f>IFERROR('1 · Datos'!D72/((SUM('1 · Datos'!$D$11:D11)-SUM('1 · Datos'!$D$32:D32)-SUM('1 · Datos'!$D$50:D50))/(COLUMN()-3)*12),0)</f>
        <v/>
      </c>
      <c r="E17" s="66">
        <f>IFERROR('1 · Datos'!E72/((SUM('1 · Datos'!$D$11:E11)-SUM('1 · Datos'!$D$32:E32)-SUM('1 · Datos'!$D$50:E50))/(COLUMN()-3)*12),0)</f>
        <v/>
      </c>
      <c r="F17" s="66">
        <f>IFERROR('1 · Datos'!F72/((SUM('1 · Datos'!$D$11:F11)-SUM('1 · Datos'!$D$32:F32)-SUM('1 · Datos'!$D$50:F50))/(COLUMN()-3)*12),0)</f>
        <v/>
      </c>
      <c r="G17" s="66">
        <f>IFERROR('1 · Datos'!G72/((SUM('1 · Datos'!$D$11:G11)-SUM('1 · Datos'!$D$32:G32)-SUM('1 · Datos'!$D$50:G50))/(COLUMN()-3)*12),0)</f>
        <v/>
      </c>
      <c r="H17" s="66">
        <f>IFERROR('1 · Datos'!H72/((SUM('1 · Datos'!$D$11:H11)-SUM('1 · Datos'!$D$32:H32)-SUM('1 · Datos'!$D$50:H50))/(COLUMN()-3)*12),0)</f>
        <v/>
      </c>
      <c r="I17" s="66">
        <f>IFERROR('1 · Datos'!I72/((SUM('1 · Datos'!$D$11:I11)-SUM('1 · Datos'!$D$32:I32)-SUM('1 · Datos'!$D$50:I50))/(COLUMN()-3)*12),0)</f>
        <v/>
      </c>
      <c r="J17" s="66">
        <f>IFERROR('1 · Datos'!J72/((SUM('1 · Datos'!$D$11:J11)-SUM('1 · Datos'!$D$32:J32)-SUM('1 · Datos'!$D$50:J50))/(COLUMN()-3)*12),0)</f>
        <v/>
      </c>
      <c r="K17" s="66">
        <f>IFERROR('1 · Datos'!K72/((SUM('1 · Datos'!$D$11:K11)-SUM('1 · Datos'!$D$32:K32)-SUM('1 · Datos'!$D$50:K50))/(COLUMN()-3)*12),0)</f>
        <v/>
      </c>
      <c r="L17" s="66">
        <f>IFERROR('1 · Datos'!L72/((SUM('1 · Datos'!$D$11:L11)-SUM('1 · Datos'!$D$32:L32)-SUM('1 · Datos'!$D$50:L50))/(COLUMN()-3)*12),0)</f>
        <v/>
      </c>
      <c r="M17" s="66">
        <f>IFERROR('1 · Datos'!M72/((SUM('1 · Datos'!$D$11:M11)-SUM('1 · Datos'!$D$32:M32)-SUM('1 · Datos'!$D$50:M50))/(COLUMN()-3)*12),0)</f>
        <v/>
      </c>
      <c r="N17" s="66">
        <f>IFERROR('1 · Datos'!N72/((SUM('1 · Datos'!$D$11:N11)-SUM('1 · Datos'!$D$32:N32)-SUM('1 · Datos'!$D$50:N50))/(COLUMN()-3)*12),0)</f>
        <v/>
      </c>
      <c r="O17" s="66">
        <f>IFERROR('1 · Datos'!O72/((SUM('1 · Datos'!$D$11:O11)-SUM('1 · Datos'!$D$32:O32)-SUM('1 · Datos'!$D$50:O50))/(COLUMN()-3)*12),0)</f>
        <v/>
      </c>
      <c r="P17" s="66">
        <f>IF(N(INDEX('1 · Datos'!$D$11:$O$11,'0 · Configuración'!$C$9))=0,"—",IFERROR(INDEX(D17:O17,'0 · Configuración'!$C$9),"—"))</f>
        <v/>
      </c>
      <c r="Q17" s="1" t="n"/>
      <c r="R17" s="1" t="n"/>
    </row>
    <row r="18" ht="15" customHeight="1">
      <c r="A18" s="1" t="n"/>
      <c r="B18" s="28" t="inlineStr">
        <is>
          <t>Máximo permitido</t>
        </is>
      </c>
      <c r="C18" s="1" t="n"/>
      <c r="D18" s="67">
        <f>'0 · Configuración'!$C$29</f>
        <v/>
      </c>
      <c r="E18" s="67">
        <f>'0 · Configuración'!$C$29</f>
        <v/>
      </c>
      <c r="F18" s="67">
        <f>'0 · Configuración'!$C$29</f>
        <v/>
      </c>
      <c r="G18" s="67">
        <f>'0 · Configuración'!$C$29</f>
        <v/>
      </c>
      <c r="H18" s="67">
        <f>'0 · Configuración'!$C$29</f>
        <v/>
      </c>
      <c r="I18" s="67">
        <f>'0 · Configuración'!$C$29</f>
        <v/>
      </c>
      <c r="J18" s="67">
        <f>'0 · Configuración'!$C$29</f>
        <v/>
      </c>
      <c r="K18" s="67">
        <f>'0 · Configuración'!$C$29</f>
        <v/>
      </c>
      <c r="L18" s="67">
        <f>'0 · Configuración'!$C$29</f>
        <v/>
      </c>
      <c r="M18" s="67">
        <f>'0 · Configuración'!$C$29</f>
        <v/>
      </c>
      <c r="N18" s="67">
        <f>'0 · Configuración'!$C$29</f>
        <v/>
      </c>
      <c r="O18" s="67">
        <f>'0 · Configuración'!$C$29</f>
        <v/>
      </c>
      <c r="P18" s="1" t="n"/>
      <c r="Q18" s="1" t="n"/>
      <c r="R18" s="1" t="n"/>
    </row>
    <row r="19">
      <c r="A19" s="1" t="n"/>
      <c r="B19" s="27" t="inlineStr">
        <is>
          <t>COBERTURA DE DIVISAS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 ht="15" customHeight="1">
      <c r="A20" s="1" t="n"/>
      <c r="B20" s="28" t="inlineStr">
        <is>
          <t>Exposición neta en USD</t>
        </is>
      </c>
      <c r="C20" s="1" t="n"/>
      <c r="D20" s="34">
        <f>'1 · Datos'!D74</f>
        <v/>
      </c>
      <c r="E20" s="34">
        <f>'1 · Datos'!E74</f>
        <v/>
      </c>
      <c r="F20" s="34">
        <f>'1 · Datos'!F74</f>
        <v/>
      </c>
      <c r="G20" s="34">
        <f>'1 · Datos'!G74</f>
        <v/>
      </c>
      <c r="H20" s="34">
        <f>'1 · Datos'!H74</f>
        <v/>
      </c>
      <c r="I20" s="34">
        <f>'1 · Datos'!I74</f>
        <v/>
      </c>
      <c r="J20" s="34">
        <f>'1 · Datos'!J74</f>
        <v/>
      </c>
      <c r="K20" s="34">
        <f>'1 · Datos'!K74</f>
        <v/>
      </c>
      <c r="L20" s="34">
        <f>'1 · Datos'!L74</f>
        <v/>
      </c>
      <c r="M20" s="34">
        <f>'1 · Datos'!M74</f>
        <v/>
      </c>
      <c r="N20" s="34">
        <f>'1 · Datos'!N74</f>
        <v/>
      </c>
      <c r="O20" s="34">
        <f>'1 · Datos'!O74</f>
        <v/>
      </c>
      <c r="P20" s="68">
        <f>IF(N(INDEX('1 · Datos'!$D$11:$O$11,'0 · Configuración'!$C$9))=0,"—",IFERROR(INDEX(D20:O20,'0 · Configuración'!$C$9),"—"))</f>
        <v/>
      </c>
      <c r="Q20" s="1" t="n"/>
      <c r="R20" s="1" t="n"/>
    </row>
    <row r="21" ht="15" customHeight="1">
      <c r="A21" s="1" t="n"/>
      <c r="B21" s="28" t="inlineStr">
        <is>
          <t>Cobertura contratada en USD</t>
        </is>
      </c>
      <c r="C21" s="1" t="n"/>
      <c r="D21" s="34">
        <f>'1 · Datos'!D75</f>
        <v/>
      </c>
      <c r="E21" s="34">
        <f>'1 · Datos'!E75</f>
        <v/>
      </c>
      <c r="F21" s="34">
        <f>'1 · Datos'!F75</f>
        <v/>
      </c>
      <c r="G21" s="34">
        <f>'1 · Datos'!G75</f>
        <v/>
      </c>
      <c r="H21" s="34">
        <f>'1 · Datos'!H75</f>
        <v/>
      </c>
      <c r="I21" s="34">
        <f>'1 · Datos'!I75</f>
        <v/>
      </c>
      <c r="J21" s="34">
        <f>'1 · Datos'!J75</f>
        <v/>
      </c>
      <c r="K21" s="34">
        <f>'1 · Datos'!K75</f>
        <v/>
      </c>
      <c r="L21" s="34">
        <f>'1 · Datos'!L75</f>
        <v/>
      </c>
      <c r="M21" s="34">
        <f>'1 · Datos'!M75</f>
        <v/>
      </c>
      <c r="N21" s="34">
        <f>'1 · Datos'!N75</f>
        <v/>
      </c>
      <c r="O21" s="34">
        <f>'1 · Datos'!O75</f>
        <v/>
      </c>
      <c r="P21" s="68">
        <f>IF(N(INDEX('1 · Datos'!$D$11:$O$11,'0 · Configuración'!$C$9))=0,"—",IFERROR(INDEX(D21:O21,'0 · Configuración'!$C$9),"—"))</f>
        <v/>
      </c>
      <c r="Q21" s="1" t="n"/>
      <c r="R21" s="1" t="n"/>
    </row>
    <row r="22" ht="15" customHeight="1">
      <c r="A22" s="1" t="n"/>
      <c r="B22" s="31" t="inlineStr">
        <is>
          <t>Porcentaje cubierto</t>
        </is>
      </c>
      <c r="C22" s="1" t="n"/>
      <c r="D22" s="62">
        <f>IFERROR('1 · Datos'!D75/'1 · Datos'!D74,0)</f>
        <v/>
      </c>
      <c r="E22" s="62">
        <f>IFERROR('1 · Datos'!E75/'1 · Datos'!E74,0)</f>
        <v/>
      </c>
      <c r="F22" s="62">
        <f>IFERROR('1 · Datos'!F75/'1 · Datos'!F74,0)</f>
        <v/>
      </c>
      <c r="G22" s="62">
        <f>IFERROR('1 · Datos'!G75/'1 · Datos'!G74,0)</f>
        <v/>
      </c>
      <c r="H22" s="62">
        <f>IFERROR('1 · Datos'!H75/'1 · Datos'!H74,0)</f>
        <v/>
      </c>
      <c r="I22" s="62">
        <f>IFERROR('1 · Datos'!I75/'1 · Datos'!I74,0)</f>
        <v/>
      </c>
      <c r="J22" s="62">
        <f>IFERROR('1 · Datos'!J75/'1 · Datos'!J74,0)</f>
        <v/>
      </c>
      <c r="K22" s="62">
        <f>IFERROR('1 · Datos'!K75/'1 · Datos'!K74,0)</f>
        <v/>
      </c>
      <c r="L22" s="62">
        <f>IFERROR('1 · Datos'!L75/'1 · Datos'!L74,0)</f>
        <v/>
      </c>
      <c r="M22" s="62">
        <f>IFERROR('1 · Datos'!M75/'1 · Datos'!M74,0)</f>
        <v/>
      </c>
      <c r="N22" s="62">
        <f>IFERROR('1 · Datos'!N75/'1 · Datos'!N74,0)</f>
        <v/>
      </c>
      <c r="O22" s="62">
        <f>IFERROR('1 · Datos'!O75/'1 · Datos'!O74,0)</f>
        <v/>
      </c>
      <c r="P22" s="62">
        <f>IF(N(INDEX('1 · Datos'!$D$11:$O$11,'0 · Configuración'!$C$9))=0,"—",IFERROR(AVERAGE(OFFSET(D22,0,0,1,'0 · Configuración'!$C$9)),"—"))</f>
        <v/>
      </c>
      <c r="Q22" s="1" t="n"/>
      <c r="R22" s="1" t="n"/>
    </row>
    <row r="23" ht="15" customHeight="1">
      <c r="A23" s="1" t="n"/>
      <c r="B23" s="28" t="inlineStr">
        <is>
          <t>Exposición descubierta en moneda local</t>
        </is>
      </c>
      <c r="C23" s="1" t="n"/>
      <c r="D23" s="29">
        <f>('1 · Datos'!D74-'1 · Datos'!D75)*'1 · Datos'!D73</f>
        <v/>
      </c>
      <c r="E23" s="29">
        <f>('1 · Datos'!E74-'1 · Datos'!E75)*'1 · Datos'!E73</f>
        <v/>
      </c>
      <c r="F23" s="29">
        <f>('1 · Datos'!F74-'1 · Datos'!F75)*'1 · Datos'!F73</f>
        <v/>
      </c>
      <c r="G23" s="29">
        <f>('1 · Datos'!G74-'1 · Datos'!G75)*'1 · Datos'!G73</f>
        <v/>
      </c>
      <c r="H23" s="29">
        <f>('1 · Datos'!H74-'1 · Datos'!H75)*'1 · Datos'!H73</f>
        <v/>
      </c>
      <c r="I23" s="29">
        <f>('1 · Datos'!I74-'1 · Datos'!I75)*'1 · Datos'!I73</f>
        <v/>
      </c>
      <c r="J23" s="29">
        <f>('1 · Datos'!J74-'1 · Datos'!J75)*'1 · Datos'!J73</f>
        <v/>
      </c>
      <c r="K23" s="29">
        <f>('1 · Datos'!K74-'1 · Datos'!K75)*'1 · Datos'!K73</f>
        <v/>
      </c>
      <c r="L23" s="29">
        <f>('1 · Datos'!L74-'1 · Datos'!L75)*'1 · Datos'!L73</f>
        <v/>
      </c>
      <c r="M23" s="29">
        <f>('1 · Datos'!M74-'1 · Datos'!M75)*'1 · Datos'!M73</f>
        <v/>
      </c>
      <c r="N23" s="29">
        <f>('1 · Datos'!N74-'1 · Datos'!N75)*'1 · Datos'!N73</f>
        <v/>
      </c>
      <c r="O23" s="29">
        <f>('1 · Datos'!O74-'1 · Datos'!O75)*'1 · Datos'!O73</f>
        <v/>
      </c>
      <c r="P23" s="30">
        <f>IF(N(INDEX('1 · Datos'!$D$11:$O$11,'0 · Configuración'!$C$9))=0,"—",IFERROR(INDEX(D23:O23,'0 · Configuración'!$C$9),"—"))</f>
        <v/>
      </c>
      <c r="Q23" s="1" t="n"/>
      <c r="R23" s="1" t="n"/>
    </row>
    <row r="24" ht="15" customHeight="1">
      <c r="A24" s="1" t="n"/>
      <c r="B24" s="28" t="inlineStr">
        <is>
          <t>TRM de cierre</t>
        </is>
      </c>
      <c r="C24" s="1" t="n"/>
      <c r="D24" s="29">
        <f>'1 · Datos'!D73</f>
        <v/>
      </c>
      <c r="E24" s="29">
        <f>'1 · Datos'!E73</f>
        <v/>
      </c>
      <c r="F24" s="29">
        <f>'1 · Datos'!F73</f>
        <v/>
      </c>
      <c r="G24" s="29">
        <f>'1 · Datos'!G73</f>
        <v/>
      </c>
      <c r="H24" s="29">
        <f>'1 · Datos'!H73</f>
        <v/>
      </c>
      <c r="I24" s="29">
        <f>'1 · Datos'!I73</f>
        <v/>
      </c>
      <c r="J24" s="29">
        <f>'1 · Datos'!J73</f>
        <v/>
      </c>
      <c r="K24" s="29">
        <f>'1 · Datos'!K73</f>
        <v/>
      </c>
      <c r="L24" s="29">
        <f>'1 · Datos'!L73</f>
        <v/>
      </c>
      <c r="M24" s="29">
        <f>'1 · Datos'!M73</f>
        <v/>
      </c>
      <c r="N24" s="29">
        <f>'1 · Datos'!N73</f>
        <v/>
      </c>
      <c r="O24" s="29">
        <f>'1 · Datos'!O73</f>
        <v/>
      </c>
      <c r="P24" s="30">
        <f>IF(N(INDEX('1 · Datos'!$D$11:$O$11,'0 · Configuración'!$C$9))=0,"—",IFERROR(INDEX(D24:O24,'0 · Configuración'!$C$9),"—"))</f>
        <v/>
      </c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B5822A"/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6" customHeight="1">
      <c r="A2" s="1" t="n"/>
      <c r="B2" s="14" t="inlineStr">
        <is>
          <t>CARTERA Y PAGOS A PROVEEDORES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5" t="inlineStr">
        <is>
          <t>El cierre. Dos indicadores y la junta queda lista desde finanzas.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5" customHeight="1">
      <c r="A5" s="1" t="n"/>
      <c r="B5" s="24" t="inlineStr">
        <is>
          <t>CONCEPTO</t>
        </is>
      </c>
      <c r="C5" s="25" t="n"/>
      <c r="D5" s="26" t="inlineStr">
        <is>
          <t>Ene</t>
        </is>
      </c>
      <c r="E5" s="26" t="inlineStr">
        <is>
          <t>Feb</t>
        </is>
      </c>
      <c r="F5" s="26" t="inlineStr">
        <is>
          <t>Mar</t>
        </is>
      </c>
      <c r="G5" s="26" t="inlineStr">
        <is>
          <t>Abr</t>
        </is>
      </c>
      <c r="H5" s="26" t="inlineStr">
        <is>
          <t>May</t>
        </is>
      </c>
      <c r="I5" s="26" t="inlineStr">
        <is>
          <t>Jun</t>
        </is>
      </c>
      <c r="J5" s="26" t="inlineStr">
        <is>
          <t>Jul</t>
        </is>
      </c>
      <c r="K5" s="26" t="inlineStr">
        <is>
          <t>Ago</t>
        </is>
      </c>
      <c r="L5" s="26" t="inlineStr">
        <is>
          <t>Sep</t>
        </is>
      </c>
      <c r="M5" s="26" t="inlineStr">
        <is>
          <t>Oct</t>
        </is>
      </c>
      <c r="N5" s="26" t="inlineStr">
        <is>
          <t>Nov</t>
        </is>
      </c>
      <c r="O5" s="26" t="inlineStr">
        <is>
          <t>Dic</t>
        </is>
      </c>
      <c r="P5" s="26" t="inlineStr">
        <is>
          <t>AÑO</t>
        </is>
      </c>
      <c r="Q5" s="1" t="n"/>
      <c r="R5" s="1" t="n"/>
    </row>
    <row r="6">
      <c r="A6" s="1" t="n"/>
      <c r="B6" s="27" t="inlineStr">
        <is>
          <t>CARTERA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5" customHeight="1">
      <c r="A7" s="1" t="n"/>
      <c r="B7" s="28" t="inlineStr">
        <is>
          <t>Saldo de cartera</t>
        </is>
      </c>
      <c r="C7" s="1" t="n"/>
      <c r="D7" s="29">
        <f>'1 · Datos'!D80</f>
        <v/>
      </c>
      <c r="E7" s="29">
        <f>'1 · Datos'!E80</f>
        <v/>
      </c>
      <c r="F7" s="29">
        <f>'1 · Datos'!F80</f>
        <v/>
      </c>
      <c r="G7" s="29">
        <f>'1 · Datos'!G80</f>
        <v/>
      </c>
      <c r="H7" s="29">
        <f>'1 · Datos'!H80</f>
        <v/>
      </c>
      <c r="I7" s="29">
        <f>'1 · Datos'!I80</f>
        <v/>
      </c>
      <c r="J7" s="29">
        <f>'1 · Datos'!J80</f>
        <v/>
      </c>
      <c r="K7" s="29">
        <f>'1 · Datos'!K80</f>
        <v/>
      </c>
      <c r="L7" s="29">
        <f>'1 · Datos'!L80</f>
        <v/>
      </c>
      <c r="M7" s="29">
        <f>'1 · Datos'!M80</f>
        <v/>
      </c>
      <c r="N7" s="29">
        <f>'1 · Datos'!N80</f>
        <v/>
      </c>
      <c r="O7" s="29">
        <f>'1 · Datos'!O80</f>
        <v/>
      </c>
      <c r="P7" s="30">
        <f>IF(N(INDEX('1 · Datos'!$D$11:$O$11,'0 · Configuración'!$C$9))=0,"—",IFERROR(INDEX(D7:O7,'0 · Configuración'!$C$9),"—"))</f>
        <v/>
      </c>
      <c r="Q7" s="1" t="n"/>
      <c r="R7" s="1" t="n"/>
    </row>
    <row r="8" ht="15" customHeight="1">
      <c r="A8" s="1" t="n"/>
      <c r="B8" s="31" t="inlineStr">
        <is>
          <t>Días de cartera</t>
        </is>
      </c>
      <c r="C8" s="1" t="n"/>
      <c r="D8" s="69">
        <f>IFERROR('1 · Datos'!D80/('1 · Datos'!D11/30),0)</f>
        <v/>
      </c>
      <c r="E8" s="69">
        <f>IFERROR('1 · Datos'!E80/('1 · Datos'!E11/30),0)</f>
        <v/>
      </c>
      <c r="F8" s="69">
        <f>IFERROR('1 · Datos'!F80/('1 · Datos'!F11/30),0)</f>
        <v/>
      </c>
      <c r="G8" s="69">
        <f>IFERROR('1 · Datos'!G80/('1 · Datos'!G11/30),0)</f>
        <v/>
      </c>
      <c r="H8" s="69">
        <f>IFERROR('1 · Datos'!H80/('1 · Datos'!H11/30),0)</f>
        <v/>
      </c>
      <c r="I8" s="69">
        <f>IFERROR('1 · Datos'!I80/('1 · Datos'!I11/30),0)</f>
        <v/>
      </c>
      <c r="J8" s="69">
        <f>IFERROR('1 · Datos'!J80/('1 · Datos'!J11/30),0)</f>
        <v/>
      </c>
      <c r="K8" s="69">
        <f>IFERROR('1 · Datos'!K80/('1 · Datos'!K11/30),0)</f>
        <v/>
      </c>
      <c r="L8" s="69">
        <f>IFERROR('1 · Datos'!L80/('1 · Datos'!L11/30),0)</f>
        <v/>
      </c>
      <c r="M8" s="69">
        <f>IFERROR('1 · Datos'!M80/('1 · Datos'!M11/30),0)</f>
        <v/>
      </c>
      <c r="N8" s="69">
        <f>IFERROR('1 · Datos'!N80/('1 · Datos'!N11/30),0)</f>
        <v/>
      </c>
      <c r="O8" s="69">
        <f>IFERROR('1 · Datos'!O80/('1 · Datos'!O11/30),0)</f>
        <v/>
      </c>
      <c r="P8" s="69">
        <f>IF(N(INDEX('1 · Datos'!$D$11:$O$11,'0 · Configuración'!$C$9))=0,"—",IFERROR(INDEX('1 · Datos'!$D$80:$O$80,'0 · Configuración'!$C$9)/(SUM(OFFSET('1 · Datos'!$D$11,0,0,1,'0 · Configuración'!$C$9))/'0 · Configuración'!$C$9/30),"—"))</f>
        <v/>
      </c>
      <c r="Q8" s="1" t="n"/>
      <c r="R8" s="1" t="n"/>
    </row>
    <row r="9" ht="15" customHeight="1">
      <c r="A9" s="1" t="n"/>
      <c r="B9" s="28" t="inlineStr">
        <is>
          <t>Objetivo</t>
        </is>
      </c>
      <c r="C9" s="1" t="n"/>
      <c r="D9" s="70">
        <f>'0 · Configuración'!$C$30</f>
        <v/>
      </c>
      <c r="E9" s="70">
        <f>'0 · Configuración'!$C$30</f>
        <v/>
      </c>
      <c r="F9" s="70">
        <f>'0 · Configuración'!$C$30</f>
        <v/>
      </c>
      <c r="G9" s="70">
        <f>'0 · Configuración'!$C$30</f>
        <v/>
      </c>
      <c r="H9" s="70">
        <f>'0 · Configuración'!$C$30</f>
        <v/>
      </c>
      <c r="I9" s="70">
        <f>'0 · Configuración'!$C$30</f>
        <v/>
      </c>
      <c r="J9" s="70">
        <f>'0 · Configuración'!$C$30</f>
        <v/>
      </c>
      <c r="K9" s="70">
        <f>'0 · Configuración'!$C$30</f>
        <v/>
      </c>
      <c r="L9" s="70">
        <f>'0 · Configuración'!$C$30</f>
        <v/>
      </c>
      <c r="M9" s="70">
        <f>'0 · Configuración'!$C$30</f>
        <v/>
      </c>
      <c r="N9" s="70">
        <f>'0 · Configuración'!$C$30</f>
        <v/>
      </c>
      <c r="O9" s="70">
        <f>'0 · Configuración'!$C$30</f>
        <v/>
      </c>
      <c r="P9" s="1" t="n"/>
      <c r="Q9" s="1" t="n"/>
      <c r="R9" s="1" t="n"/>
    </row>
    <row r="10" ht="15" customHeight="1">
      <c r="A10" s="1" t="n"/>
      <c r="B10" s="28" t="inlineStr">
        <is>
          <t>Cartera vencida &gt; 60 días</t>
        </is>
      </c>
      <c r="C10" s="1" t="n"/>
      <c r="D10" s="29">
        <f>'1 · Datos'!D81</f>
        <v/>
      </c>
      <c r="E10" s="29">
        <f>'1 · Datos'!E81</f>
        <v/>
      </c>
      <c r="F10" s="29">
        <f>'1 · Datos'!F81</f>
        <v/>
      </c>
      <c r="G10" s="29">
        <f>'1 · Datos'!G81</f>
        <v/>
      </c>
      <c r="H10" s="29">
        <f>'1 · Datos'!H81</f>
        <v/>
      </c>
      <c r="I10" s="29">
        <f>'1 · Datos'!I81</f>
        <v/>
      </c>
      <c r="J10" s="29">
        <f>'1 · Datos'!J81</f>
        <v/>
      </c>
      <c r="K10" s="29">
        <f>'1 · Datos'!K81</f>
        <v/>
      </c>
      <c r="L10" s="29">
        <f>'1 · Datos'!L81</f>
        <v/>
      </c>
      <c r="M10" s="29">
        <f>'1 · Datos'!M81</f>
        <v/>
      </c>
      <c r="N10" s="29">
        <f>'1 · Datos'!N81</f>
        <v/>
      </c>
      <c r="O10" s="29">
        <f>'1 · Datos'!O81</f>
        <v/>
      </c>
      <c r="P10" s="30">
        <f>IF(N(INDEX('1 · Datos'!$D$11:$O$11,'0 · Configuración'!$C$9))=0,"—",IFERROR(INDEX(D10:O10,'0 · Configuración'!$C$9),"—"))</f>
        <v/>
      </c>
      <c r="Q10" s="1" t="n"/>
      <c r="R10" s="1" t="n"/>
    </row>
    <row r="11" ht="15" customHeight="1">
      <c r="A11" s="1" t="n"/>
      <c r="B11" s="60" t="inlineStr">
        <is>
          <t>Porcentaje vencido</t>
        </is>
      </c>
      <c r="C11" s="1" t="n"/>
      <c r="D11" s="61">
        <f>IFERROR('1 · Datos'!D81/'1 · Datos'!D80,0)</f>
        <v/>
      </c>
      <c r="E11" s="61">
        <f>IFERROR('1 · Datos'!E81/'1 · Datos'!E80,0)</f>
        <v/>
      </c>
      <c r="F11" s="61">
        <f>IFERROR('1 · Datos'!F81/'1 · Datos'!F80,0)</f>
        <v/>
      </c>
      <c r="G11" s="61">
        <f>IFERROR('1 · Datos'!G81/'1 · Datos'!G80,0)</f>
        <v/>
      </c>
      <c r="H11" s="61">
        <f>IFERROR('1 · Datos'!H81/'1 · Datos'!H80,0)</f>
        <v/>
      </c>
      <c r="I11" s="61">
        <f>IFERROR('1 · Datos'!I81/'1 · Datos'!I80,0)</f>
        <v/>
      </c>
      <c r="J11" s="61">
        <f>IFERROR('1 · Datos'!J81/'1 · Datos'!J80,0)</f>
        <v/>
      </c>
      <c r="K11" s="61">
        <f>IFERROR('1 · Datos'!K81/'1 · Datos'!K80,0)</f>
        <v/>
      </c>
      <c r="L11" s="61">
        <f>IFERROR('1 · Datos'!L81/'1 · Datos'!L80,0)</f>
        <v/>
      </c>
      <c r="M11" s="61">
        <f>IFERROR('1 · Datos'!M81/'1 · Datos'!M80,0)</f>
        <v/>
      </c>
      <c r="N11" s="61">
        <f>IFERROR('1 · Datos'!N81/'1 · Datos'!N80,0)</f>
        <v/>
      </c>
      <c r="O11" s="61">
        <f>IFERROR('1 · Datos'!O81/'1 · Datos'!O80,0)</f>
        <v/>
      </c>
      <c r="P11" s="61">
        <f>IF(N(INDEX('1 · Datos'!$D$11:$O$11,'0 · Configuración'!$C$9))=0,"—",IFERROR(INDEX('1 · Datos'!$D$81:$O$81,'0 · Configuración'!$C$9)/INDEX('1 · Datos'!$D$80:$O$80,'0 · Configuración'!$C$9),"—"))</f>
        <v/>
      </c>
      <c r="Q11" s="1" t="n"/>
      <c r="R11" s="1" t="n"/>
    </row>
    <row r="12">
      <c r="A12" s="1" t="n"/>
      <c r="B12" s="27" t="inlineStr">
        <is>
          <t>PROVEEDORES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15" customHeight="1">
      <c r="A13" s="1" t="n"/>
      <c r="B13" s="28" t="inlineStr">
        <is>
          <t>Saldo de proveedores</t>
        </is>
      </c>
      <c r="C13" s="1" t="n"/>
      <c r="D13" s="29">
        <f>'1 · Datos'!D82</f>
        <v/>
      </c>
      <c r="E13" s="29">
        <f>'1 · Datos'!E82</f>
        <v/>
      </c>
      <c r="F13" s="29">
        <f>'1 · Datos'!F82</f>
        <v/>
      </c>
      <c r="G13" s="29">
        <f>'1 · Datos'!G82</f>
        <v/>
      </c>
      <c r="H13" s="29">
        <f>'1 · Datos'!H82</f>
        <v/>
      </c>
      <c r="I13" s="29">
        <f>'1 · Datos'!I82</f>
        <v/>
      </c>
      <c r="J13" s="29">
        <f>'1 · Datos'!J82</f>
        <v/>
      </c>
      <c r="K13" s="29">
        <f>'1 · Datos'!K82</f>
        <v/>
      </c>
      <c r="L13" s="29">
        <f>'1 · Datos'!L82</f>
        <v/>
      </c>
      <c r="M13" s="29">
        <f>'1 · Datos'!M82</f>
        <v/>
      </c>
      <c r="N13" s="29">
        <f>'1 · Datos'!N82</f>
        <v/>
      </c>
      <c r="O13" s="29">
        <f>'1 · Datos'!O82</f>
        <v/>
      </c>
      <c r="P13" s="30">
        <f>IF(N(INDEX('1 · Datos'!$D$11:$O$11,'0 · Configuración'!$C$9))=0,"—",IFERROR(INDEX(D13:O13,'0 · Configuración'!$C$9),"—"))</f>
        <v/>
      </c>
      <c r="Q13" s="1" t="n"/>
      <c r="R13" s="1" t="n"/>
    </row>
    <row r="14" ht="15" customHeight="1">
      <c r="A14" s="1" t="n"/>
      <c r="B14" s="31" t="inlineStr">
        <is>
          <t>Días de proveedores</t>
        </is>
      </c>
      <c r="C14" s="1" t="n"/>
      <c r="D14" s="69">
        <f>IFERROR('1 · Datos'!D82/('1 · Datos'!D83/30),0)</f>
        <v/>
      </c>
      <c r="E14" s="69">
        <f>IFERROR('1 · Datos'!E82/('1 · Datos'!E83/30),0)</f>
        <v/>
      </c>
      <c r="F14" s="69">
        <f>IFERROR('1 · Datos'!F82/('1 · Datos'!F83/30),0)</f>
        <v/>
      </c>
      <c r="G14" s="69">
        <f>IFERROR('1 · Datos'!G82/('1 · Datos'!G83/30),0)</f>
        <v/>
      </c>
      <c r="H14" s="69">
        <f>IFERROR('1 · Datos'!H82/('1 · Datos'!H83/30),0)</f>
        <v/>
      </c>
      <c r="I14" s="69">
        <f>IFERROR('1 · Datos'!I82/('1 · Datos'!I83/30),0)</f>
        <v/>
      </c>
      <c r="J14" s="69">
        <f>IFERROR('1 · Datos'!J82/('1 · Datos'!J83/30),0)</f>
        <v/>
      </c>
      <c r="K14" s="69">
        <f>IFERROR('1 · Datos'!K82/('1 · Datos'!K83/30),0)</f>
        <v/>
      </c>
      <c r="L14" s="69">
        <f>IFERROR('1 · Datos'!L82/('1 · Datos'!L83/30),0)</f>
        <v/>
      </c>
      <c r="M14" s="69">
        <f>IFERROR('1 · Datos'!M82/('1 · Datos'!M83/30),0)</f>
        <v/>
      </c>
      <c r="N14" s="69">
        <f>IFERROR('1 · Datos'!N82/('1 · Datos'!N83/30),0)</f>
        <v/>
      </c>
      <c r="O14" s="69">
        <f>IFERROR('1 · Datos'!O82/('1 · Datos'!O83/30),0)</f>
        <v/>
      </c>
      <c r="P14" s="69">
        <f>IF(N(INDEX('1 · Datos'!$D$11:$O$11,'0 · Configuración'!$C$9))=0,"—",IFERROR(INDEX('1 · Datos'!$D$82:$O$82,'0 · Configuración'!$C$9)/(SUM(OFFSET('1 · Datos'!$D$83,0,0,1,'0 · Configuración'!$C$9))/'0 · Configuración'!$C$9/30),"—"))</f>
        <v/>
      </c>
      <c r="Q14" s="1" t="n"/>
      <c r="R14" s="1" t="n"/>
    </row>
    <row r="15">
      <c r="A15" s="1" t="n"/>
      <c r="B15" s="27" t="inlineStr">
        <is>
          <t>CICLO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 ht="15" customHeight="1">
      <c r="A16" s="1" t="n"/>
      <c r="B16" s="60" t="inlineStr">
        <is>
          <t>Ciclo de conversión (cartera − proveedores)</t>
        </is>
      </c>
      <c r="C16" s="1" t="n"/>
      <c r="D16" s="71">
        <f>IFERROR('1 · Datos'!D80/('1 · Datos'!D11/30)-'1 · Datos'!D82/('1 · Datos'!D83/30),0)</f>
        <v/>
      </c>
      <c r="E16" s="71">
        <f>IFERROR('1 · Datos'!E80/('1 · Datos'!E11/30)-'1 · Datos'!E82/('1 · Datos'!E83/30),0)</f>
        <v/>
      </c>
      <c r="F16" s="71">
        <f>IFERROR('1 · Datos'!F80/('1 · Datos'!F11/30)-'1 · Datos'!F82/('1 · Datos'!F83/30),0)</f>
        <v/>
      </c>
      <c r="G16" s="71">
        <f>IFERROR('1 · Datos'!G80/('1 · Datos'!G11/30)-'1 · Datos'!G82/('1 · Datos'!G83/30),0)</f>
        <v/>
      </c>
      <c r="H16" s="71">
        <f>IFERROR('1 · Datos'!H80/('1 · Datos'!H11/30)-'1 · Datos'!H82/('1 · Datos'!H83/30),0)</f>
        <v/>
      </c>
      <c r="I16" s="71">
        <f>IFERROR('1 · Datos'!I80/('1 · Datos'!I11/30)-'1 · Datos'!I82/('1 · Datos'!I83/30),0)</f>
        <v/>
      </c>
      <c r="J16" s="71">
        <f>IFERROR('1 · Datos'!J80/('1 · Datos'!J11/30)-'1 · Datos'!J82/('1 · Datos'!J83/30),0)</f>
        <v/>
      </c>
      <c r="K16" s="71">
        <f>IFERROR('1 · Datos'!K80/('1 · Datos'!K11/30)-'1 · Datos'!K82/('1 · Datos'!K83/30),0)</f>
        <v/>
      </c>
      <c r="L16" s="71">
        <f>IFERROR('1 · Datos'!L80/('1 · Datos'!L11/30)-'1 · Datos'!L82/('1 · Datos'!L83/30),0)</f>
        <v/>
      </c>
      <c r="M16" s="71">
        <f>IFERROR('1 · Datos'!M80/('1 · Datos'!M11/30)-'1 · Datos'!M82/('1 · Datos'!M83/30),0)</f>
        <v/>
      </c>
      <c r="N16" s="71">
        <f>IFERROR('1 · Datos'!N80/('1 · Datos'!N11/30)-'1 · Datos'!N82/('1 · Datos'!N83/30),0)</f>
        <v/>
      </c>
      <c r="O16" s="71">
        <f>IFERROR('1 · Datos'!O80/('1 · Datos'!O11/30)-'1 · Datos'!O82/('1 · Datos'!O83/30),0)</f>
        <v/>
      </c>
      <c r="P16" s="71">
        <f>IF(N(INDEX('1 · Datos'!$D$11:$O$11,'0 · Configuración'!$C$9))=0,"—",IFERROR(AVERAGE(OFFSET(D16,0,0,1,'0 · Configuración'!$C$9)),"—"))</f>
        <v/>
      </c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B5822A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34" customWidth="1" min="3" max="3"/>
    <col width="26" customWidth="1" min="4" max="4"/>
    <col width="16" customWidth="1" min="5" max="5"/>
    <col width="16" customWidth="1" min="6" max="6"/>
    <col width="2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6" customHeight="1">
      <c r="A2" s="1" t="n"/>
      <c r="B2" s="14" t="inlineStr">
        <is>
          <t>ACCIONES Y DECISIONES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5" t="inlineStr">
        <is>
          <t>Esta hoja no tiene fórmulas a propósito. Es la que convierte una mala cifra en una cifra con dueño.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16" customHeight="1">
      <c r="A5" s="1" t="n"/>
      <c r="B5" s="8" t="inlineStr">
        <is>
          <t>Una junta no pide que nada salga mal. Pide que haya acciones. Si un bloque del resumen dice «requiere acción» y no tiene fila aquí, la presentación no está lista.</t>
        </is>
      </c>
      <c r="H5" s="1" t="n"/>
    </row>
    <row r="6" ht="16" customHeight="1">
      <c r="A6" s="1" t="n"/>
      <c r="H6" s="1" t="n"/>
    </row>
    <row r="7" ht="16" customHeight="1">
      <c r="A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72" t="inlineStr">
        <is>
          <t>BLOQUE</t>
        </is>
      </c>
      <c r="C10" s="72" t="inlineStr">
        <is>
          <t>QUÉ PASÓ</t>
        </is>
      </c>
      <c r="D10" s="72" t="inlineStr">
        <is>
          <t>ACCIÓN YA TOMADA</t>
        </is>
      </c>
      <c r="E10" s="72" t="inlineStr">
        <is>
          <t>RESPONSABLE</t>
        </is>
      </c>
      <c r="F10" s="72" t="inlineStr">
        <is>
          <t>FECHA</t>
        </is>
      </c>
      <c r="G10" s="72" t="inlineStr">
        <is>
          <t>ESTADO</t>
        </is>
      </c>
      <c r="H10" s="1" t="n"/>
    </row>
    <row r="11" ht="34" customHeight="1">
      <c r="A11" s="1" t="n"/>
      <c r="B11" s="73" t="inlineStr">
        <is>
          <t>3 · Gasto administrativo</t>
        </is>
      </c>
      <c r="C11" s="74" t="inlineStr">
        <is>
          <t>Honorarios cerró 18% sobre presupuesto por dos asesorías no previstas.</t>
        </is>
      </c>
      <c r="D11" s="74" t="inlineStr">
        <is>
          <t>Se cerró el cupo de asesorías del último trimestre y toda contratación nueva pasa por comité.</t>
        </is>
      </c>
      <c r="E11" s="74" t="inlineStr">
        <is>
          <t>[NOMBRE]</t>
        </is>
      </c>
      <c r="F11" s="74" t="inlineStr">
        <is>
          <t>[FECHA]</t>
        </is>
      </c>
      <c r="G11" s="74" t="inlineStr">
        <is>
          <t>En curso</t>
        </is>
      </c>
      <c r="H11" s="1" t="n"/>
    </row>
    <row r="12" ht="34" customHeight="1">
      <c r="A12" s="1" t="n"/>
      <c r="B12" s="73" t="inlineStr">
        <is>
          <t>7 · Cartera</t>
        </is>
      </c>
      <c r="C12" s="74" t="inlineStr">
        <is>
          <t>La cartera vencida a más de 60 días pasó de 11% a 19% del saldo.</t>
        </is>
      </c>
      <c r="D12" s="74" t="inlineStr">
        <is>
          <t>Se frenó despacho a los tres clientes de mayor mora y se pactó plan de pago con el mayor.</t>
        </is>
      </c>
      <c r="E12" s="74" t="inlineStr">
        <is>
          <t>[NOMBRE]</t>
        </is>
      </c>
      <c r="F12" s="74" t="inlineStr">
        <is>
          <t>[FECHA]</t>
        </is>
      </c>
      <c r="G12" s="74" t="inlineStr">
        <is>
          <t>En curso</t>
        </is>
      </c>
      <c r="H12" s="1" t="n"/>
    </row>
    <row r="13" ht="30" customHeight="1">
      <c r="A13" s="1" t="n"/>
      <c r="B13" s="74" t="inlineStr"/>
      <c r="C13" s="74" t="inlineStr"/>
      <c r="D13" s="74" t="inlineStr"/>
      <c r="E13" s="74" t="inlineStr"/>
      <c r="F13" s="74" t="inlineStr"/>
      <c r="G13" s="74" t="inlineStr"/>
      <c r="H13" s="1" t="n"/>
    </row>
    <row r="14" ht="30" customHeight="1">
      <c r="A14" s="1" t="n"/>
      <c r="B14" s="74" t="inlineStr"/>
      <c r="C14" s="74" t="inlineStr"/>
      <c r="D14" s="74" t="inlineStr"/>
      <c r="E14" s="74" t="inlineStr"/>
      <c r="F14" s="74" t="inlineStr"/>
      <c r="G14" s="74" t="inlineStr"/>
      <c r="H14" s="1" t="n"/>
    </row>
    <row r="15" ht="30" customHeight="1">
      <c r="A15" s="1" t="n"/>
      <c r="B15" s="74" t="inlineStr"/>
      <c r="C15" s="74" t="inlineStr"/>
      <c r="D15" s="74" t="inlineStr"/>
      <c r="E15" s="74" t="inlineStr"/>
      <c r="F15" s="74" t="inlineStr"/>
      <c r="G15" s="74" t="inlineStr"/>
      <c r="H15" s="1" t="n"/>
    </row>
    <row r="16" ht="30" customHeight="1">
      <c r="A16" s="1" t="n"/>
      <c r="B16" s="74" t="inlineStr"/>
      <c r="C16" s="74" t="inlineStr"/>
      <c r="D16" s="74" t="inlineStr"/>
      <c r="E16" s="74" t="inlineStr"/>
      <c r="F16" s="74" t="inlineStr"/>
      <c r="G16" s="74" t="inlineStr"/>
      <c r="H16" s="1" t="n"/>
    </row>
    <row r="17" ht="30" customHeight="1">
      <c r="A17" s="1" t="n"/>
      <c r="B17" s="74" t="inlineStr"/>
      <c r="C17" s="74" t="inlineStr"/>
      <c r="D17" s="74" t="inlineStr"/>
      <c r="E17" s="74" t="inlineStr"/>
      <c r="F17" s="74" t="inlineStr"/>
      <c r="G17" s="74" t="inlineStr"/>
      <c r="H17" s="1" t="n"/>
    </row>
    <row r="18" ht="30" customHeight="1">
      <c r="A18" s="1" t="n"/>
      <c r="B18" s="74" t="inlineStr"/>
      <c r="C18" s="74" t="inlineStr"/>
      <c r="D18" s="74" t="inlineStr"/>
      <c r="E18" s="74" t="inlineStr"/>
      <c r="F18" s="74" t="inlineStr"/>
      <c r="G18" s="74" t="inlineStr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mergeCells count="1">
    <mergeCell ref="B5:G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5822A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6" customWidth="1" min="2" max="2"/>
    <col width="46" customWidth="1" min="3" max="3"/>
    <col width="22" customWidth="1" min="4" max="4"/>
  </cols>
  <sheetData>
    <row r="1">
      <c r="A1" s="1" t="n"/>
      <c r="B1" s="1" t="n"/>
      <c r="C1" s="1" t="n"/>
      <c r="D1" s="1" t="n"/>
      <c r="E1" s="1" t="n"/>
      <c r="F1" s="1" t="n"/>
    </row>
    <row r="2" ht="26" customHeight="1">
      <c r="A2" s="1" t="n"/>
      <c r="B2" s="14" t="inlineStr">
        <is>
          <t>LAS PREGUNTAS QUE VAN A HACER</t>
        </is>
      </c>
      <c r="C2" s="1" t="n"/>
      <c r="D2" s="1" t="n"/>
      <c r="E2" s="1" t="n"/>
      <c r="F2" s="1" t="n"/>
    </row>
    <row r="3">
      <c r="A3" s="1" t="n"/>
      <c r="B3" s="15" t="inlineStr">
        <is>
          <t>Se llena antes de la junta, no después. Es el bloque que evita que la reunión sea un interrogatorio.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17" customHeight="1">
      <c r="A5" s="1" t="n"/>
      <c r="B5" s="8" t="inlineStr">
        <is>
          <t>Parte de la preparación está en evaluar las posibles preguntas que van a realizar, que en últimas serían las que yo haría a un equipo que me presenta números e indicadores. Si están cubiertas de antemano, la junta deja de interrogar y empieza a aportar.</t>
        </is>
      </c>
      <c r="E5" s="1" t="n"/>
      <c r="F5" s="1" t="n"/>
    </row>
    <row r="6" ht="17" customHeight="1">
      <c r="A6" s="1" t="n"/>
      <c r="E6" s="1" t="n"/>
      <c r="F6" s="1" t="n"/>
    </row>
    <row r="7" ht="17" customHeight="1">
      <c r="A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9" t="inlineStr">
        <is>
          <t>CONOCE AL AUDITORIO</t>
        </is>
      </c>
      <c r="C10" s="1" t="n"/>
      <c r="D10" s="1" t="n"/>
      <c r="E10" s="1" t="n"/>
      <c r="F10" s="1" t="n"/>
    </row>
    <row r="11">
      <c r="A11" s="1" t="n"/>
      <c r="B11" s="10" t="inlineStr">
        <is>
          <t>Cada miembro de junta llega con un dolor distinto según de dónde viene. Anota el suyo y verás que la mitad de las preguntas se predicen solas.</t>
        </is>
      </c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72" t="inlineStr">
        <is>
          <t>MIEMBRO DE JUNTA</t>
        </is>
      </c>
      <c r="C13" s="72" t="inlineStr">
        <is>
          <t>DE DÓNDE VIENE</t>
        </is>
      </c>
      <c r="D13" s="72" t="inlineStr">
        <is>
          <t>QUÉ LE DUELE</t>
        </is>
      </c>
      <c r="E13" s="1" t="n"/>
      <c r="F13" s="1" t="n"/>
    </row>
    <row r="14" ht="20" customHeight="1">
      <c r="A14" s="1" t="n"/>
      <c r="B14" s="75" t="inlineStr"/>
      <c r="C14" s="75" t="inlineStr"/>
      <c r="D14" s="75" t="inlineStr"/>
      <c r="E14" s="1" t="n"/>
      <c r="F14" s="1" t="n"/>
    </row>
    <row r="15" ht="20" customHeight="1">
      <c r="A15" s="1" t="n"/>
      <c r="B15" s="75" t="inlineStr"/>
      <c r="C15" s="75" t="inlineStr"/>
      <c r="D15" s="75" t="inlineStr"/>
      <c r="E15" s="1" t="n"/>
      <c r="F15" s="1" t="n"/>
    </row>
    <row r="16" ht="20" customHeight="1">
      <c r="A16" s="1" t="n"/>
      <c r="B16" s="75" t="inlineStr"/>
      <c r="C16" s="75" t="inlineStr"/>
      <c r="D16" s="75" t="inlineStr"/>
      <c r="E16" s="1" t="n"/>
      <c r="F16" s="1" t="n"/>
    </row>
    <row r="17" ht="20" customHeight="1">
      <c r="A17" s="1" t="n"/>
      <c r="B17" s="75" t="inlineStr"/>
      <c r="C17" s="75" t="inlineStr"/>
      <c r="D17" s="75" t="inlineStr"/>
      <c r="E17" s="1" t="n"/>
      <c r="F17" s="1" t="n"/>
    </row>
    <row r="18" ht="20" customHeight="1">
      <c r="A18" s="1" t="n"/>
      <c r="B18" s="75" t="inlineStr"/>
      <c r="C18" s="75" t="inlineStr"/>
      <c r="D18" s="75" t="inlineStr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9" t="inlineStr">
        <is>
          <t>PREGUNTAS ANTICIPADAS</t>
        </is>
      </c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72" t="inlineStr">
        <is>
          <t>PREGUNTA QUE YO HARÍA SI ESTUVIERA DEL OTRO LADO</t>
        </is>
      </c>
      <c r="C23" s="72" t="inlineStr">
        <is>
          <t>RESPUESTA PREPARADA</t>
        </is>
      </c>
      <c r="D23" s="72" t="inlineStr">
        <is>
          <t>DÓNDE ESTÁ EL DATO</t>
        </is>
      </c>
      <c r="E23" s="1" t="n"/>
      <c r="F23" s="1" t="n"/>
    </row>
    <row r="24" ht="24" customHeight="1">
      <c r="A24" s="1" t="n"/>
      <c r="B24" s="76" t="inlineStr">
        <is>
          <t>¿Por qué el margen de esa línea cayó dos meses seguidos?</t>
        </is>
      </c>
      <c r="C24" s="74" t="inlineStr"/>
      <c r="D24" s="74" t="inlineStr">
        <is>
          <t>Hoja 4</t>
        </is>
      </c>
      <c r="E24" s="1" t="n"/>
      <c r="F24" s="1" t="n"/>
    </row>
    <row r="25" ht="24" customHeight="1">
      <c r="A25" s="1" t="n"/>
      <c r="B25" s="76" t="inlineStr">
        <is>
          <t>¿El pipeline está validado con comercial o lo armó finanzas sola?</t>
        </is>
      </c>
      <c r="C25" s="74" t="inlineStr"/>
      <c r="D25" s="74" t="inlineStr">
        <is>
          <t>Hoja 3</t>
        </is>
      </c>
      <c r="E25" s="1" t="n"/>
      <c r="F25" s="1" t="n"/>
    </row>
    <row r="26" ht="24" customHeight="1">
      <c r="A26" s="1" t="n"/>
      <c r="B26" s="76" t="inlineStr">
        <is>
          <t>¿Cuántos meses de caja quedan si el recaudo cae 15%?</t>
        </is>
      </c>
      <c r="C26" s="74" t="inlineStr"/>
      <c r="D26" s="74" t="inlineStr">
        <is>
          <t>Hoja 6</t>
        </is>
      </c>
      <c r="E26" s="1" t="n"/>
      <c r="F26" s="1" t="n"/>
    </row>
    <row r="27" ht="24" customHeight="1">
      <c r="A27" s="1" t="n"/>
      <c r="B27" s="76" t="inlineStr">
        <is>
          <t>¿Qué parte de la exposición en dólares está descubierta hoy?</t>
        </is>
      </c>
      <c r="C27" s="74" t="inlineStr"/>
      <c r="D27" s="74" t="inlineStr">
        <is>
          <t>Hoja 6</t>
        </is>
      </c>
      <c r="E27" s="1" t="n"/>
      <c r="F27" s="1" t="n"/>
    </row>
    <row r="28" ht="24" customHeight="1">
      <c r="A28" s="1" t="n"/>
      <c r="B28" s="76" t="inlineStr">
        <is>
          <t>¿Quién es el dueño de cada acción de la hoja 8 y desde cuándo?</t>
        </is>
      </c>
      <c r="C28" s="74" t="inlineStr"/>
      <c r="D28" s="74" t="inlineStr">
        <is>
          <t>Hoja 8</t>
        </is>
      </c>
      <c r="E28" s="1" t="n"/>
      <c r="F28" s="1" t="n"/>
    </row>
    <row r="29" ht="24" customHeight="1">
      <c r="A29" s="1" t="n"/>
      <c r="B29" s="74" t="inlineStr"/>
      <c r="C29" s="74" t="inlineStr"/>
      <c r="D29" s="74" t="inlineStr"/>
      <c r="E29" s="1" t="n"/>
      <c r="F29" s="1" t="n"/>
    </row>
    <row r="30" ht="24" customHeight="1">
      <c r="A30" s="1" t="n"/>
      <c r="B30" s="74" t="inlineStr"/>
      <c r="C30" s="74" t="inlineStr"/>
      <c r="D30" s="74" t="inlineStr"/>
      <c r="E30" s="1" t="n"/>
      <c r="F30" s="1" t="n"/>
    </row>
    <row r="31" ht="24" customHeight="1">
      <c r="A31" s="1" t="n"/>
      <c r="B31" s="74" t="inlineStr"/>
      <c r="C31" s="74" t="inlineStr"/>
      <c r="D31" s="74" t="inlineStr"/>
      <c r="E31" s="1" t="n"/>
      <c r="F31" s="1" t="n"/>
    </row>
    <row r="32" ht="24" customHeight="1">
      <c r="A32" s="1" t="n"/>
      <c r="B32" s="74" t="inlineStr"/>
      <c r="C32" s="74" t="inlineStr"/>
      <c r="D32" s="74" t="inlineStr"/>
      <c r="E32" s="1" t="n"/>
      <c r="F32" s="1" t="n"/>
    </row>
    <row r="33" ht="24" customHeight="1">
      <c r="A33" s="1" t="n"/>
      <c r="B33" s="74" t="inlineStr"/>
      <c r="C33" s="74" t="inlineStr"/>
      <c r="D33" s="74" t="inlineStr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</sheetData>
  <mergeCells count="1">
    <mergeCell ref="B5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2026-09-03T17:40:47Z</dcterms:created>
  <dcterms:modified xmlns:dcterms="http://purl.org/dc/terms/" xmlns:xsi="http://www.w3.org/2001/XMLSchema-instance" xsi:type="dcterms:W3CDTF">2026-09-03T17:40:48Z</dcterms:modified>
</cp:coreProperties>
</file>